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1.xml" ContentType="application/vnd.ms-office.chartstyle+xml"/>
  <Override PartName="/xl/charts/colors1.xml" ContentType="application/vnd.ms-office.chartcolorstyle+xml"/>
  <Override PartName="/xl/charts/chart8.xml" ContentType="application/vnd.openxmlformats-officedocument.drawingml.chart+xml"/>
  <Override PartName="/xl/charts/style2.xml" ContentType="application/vnd.ms-office.chartstyle+xml"/>
  <Override PartName="/xl/charts/colors2.xml" ContentType="application/vnd.ms-office.chartcolorstyle+xml"/>
  <Override PartName="/xl/charts/chart9.xml" ContentType="application/vnd.openxmlformats-officedocument.drawingml.chart+xml"/>
  <Override PartName="/xl/charts/style3.xml" ContentType="application/vnd.ms-office.chartstyle+xml"/>
  <Override PartName="/xl/charts/colors3.xml" ContentType="application/vnd.ms-office.chartcolorstyle+xml"/>
  <Override PartName="/xl/charts/chart10.xml" ContentType="application/vnd.openxmlformats-officedocument.drawingml.chart+xml"/>
  <Override PartName="/xl/charts/style4.xml" ContentType="application/vnd.ms-office.chartstyle+xml"/>
  <Override PartName="/xl/charts/colors4.xml" ContentType="application/vnd.ms-office.chartcolorstyle+xml"/>
  <Override PartName="/xl/charts/chart11.xml" ContentType="application/vnd.openxmlformats-officedocument.drawingml.chart+xml"/>
  <Override PartName="/xl/charts/style5.xml" ContentType="application/vnd.ms-office.chartstyle+xml"/>
  <Override PartName="/xl/charts/colors5.xml" ContentType="application/vnd.ms-office.chartcolorstyle+xml"/>
  <Override PartName="/xl/charts/chart12.xml" ContentType="application/vnd.openxmlformats-officedocument.drawingml.chart+xml"/>
  <Override PartName="/xl/charts/style6.xml" ContentType="application/vnd.ms-office.chartstyle+xml"/>
  <Override PartName="/xl/charts/colors6.xml" ContentType="application/vnd.ms-office.chartcolorstyle+xml"/>
  <Override PartName="/xl/charts/chart13.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4000" windowHeight="9510"/>
  </bookViews>
  <sheets>
    <sheet name="New Dashboard" sheetId="15" r:id="rId1"/>
    <sheet name="Pivot Data" sheetId="14" r:id="rId2"/>
    <sheet name="pivot table 1" sheetId="3" r:id="rId3"/>
    <sheet name="pivot table 2" sheetId="4" r:id="rId4"/>
    <sheet name="pivot table 3" sheetId="5" r:id="rId5"/>
    <sheet name="pivot table 4" sheetId="6" r:id="rId6"/>
    <sheet name="pivot table 5" sheetId="7" r:id="rId7"/>
    <sheet name="pivot table 6" sheetId="8" r:id="rId8"/>
    <sheet name="pivot table 7" sheetId="11" r:id="rId9"/>
    <sheet name="Sheet9" sheetId="12" r:id="rId10"/>
    <sheet name="Tours Travel Dataset" sheetId="1" r:id="rId11"/>
    <sheet name="Data Dictionary" sheetId="2" r:id="rId12"/>
    <sheet name="Sheet1" sheetId="13" r:id="rId13"/>
  </sheets>
  <definedNames>
    <definedName name="Slicer_Booking_Status">#N/A</definedName>
    <definedName name="Slicer_Booking_Status1">#N/A</definedName>
    <definedName name="Slicer_Destination">#N/A</definedName>
    <definedName name="Slicer_Destination1">#N/A</definedName>
    <definedName name="Slicer_Months__Booking_Date">#N/A</definedName>
    <definedName name="Slicer_Months__Booking_Date1">#N/A</definedName>
    <definedName name="Slicer_Package_Type">#N/A</definedName>
    <definedName name="Slicer_Package_Type1">#N/A</definedName>
    <definedName name="Slicer_Payment_Method">#N/A</definedName>
    <definedName name="Slicer_Payment_Method1">#N/A</definedName>
    <definedName name="Slicer_Salesperson">#N/A</definedName>
    <definedName name="Slicer_Salesperson1">#N/A</definedName>
    <definedName name="Slicer_Years__Booking_Date">#N/A</definedName>
    <definedName name="Slicer_Years__Booking_Date1">#N/A</definedName>
  </definedNames>
  <calcPr calcId="162913"/>
  <pivotCaches>
    <pivotCache cacheId="11" r:id="rId14"/>
  </pivotCaches>
  <fileRecoveryPr repairLoad="1"/>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Lst>
</workbook>
</file>

<file path=xl/calcChain.xml><?xml version="1.0" encoding="utf-8"?>
<calcChain xmlns="http://schemas.openxmlformats.org/spreadsheetml/2006/main">
  <c r="U11" i="14" l="1"/>
  <c r="U10" i="14"/>
  <c r="U9" i="14"/>
  <c r="U8" i="14"/>
  <c r="U14" i="14"/>
  <c r="U13" i="14"/>
  <c r="U12" i="14"/>
</calcChain>
</file>

<file path=xl/sharedStrings.xml><?xml version="1.0" encoding="utf-8"?>
<sst xmlns="http://schemas.openxmlformats.org/spreadsheetml/2006/main" count="2895" uniqueCount="564">
  <si>
    <t>Booking ID</t>
  </si>
  <si>
    <t>Booking Date</t>
  </si>
  <si>
    <t>Customer Name</t>
  </si>
  <si>
    <t>Gender</t>
  </si>
  <si>
    <t>Age</t>
  </si>
  <si>
    <t>Destination</t>
  </si>
  <si>
    <t>Package Name</t>
  </si>
  <si>
    <t>Package Type</t>
  </si>
  <si>
    <t>Travelers</t>
  </si>
  <si>
    <t>Booking Amount</t>
  </si>
  <si>
    <t>Payment Method</t>
  </si>
  <si>
    <t>Booking Status</t>
  </si>
  <si>
    <t>Travel Date</t>
  </si>
  <si>
    <t>Salesperson</t>
  </si>
  <si>
    <t>Customer Rating</t>
  </si>
  <si>
    <t>BK0001</t>
  </si>
  <si>
    <t>Arjun Verma</t>
  </si>
  <si>
    <t>Female</t>
  </si>
  <si>
    <t>Thailand</t>
  </si>
  <si>
    <t>Thailand Luxury</t>
  </si>
  <si>
    <t>Luxury</t>
  </si>
  <si>
    <t>Cash</t>
  </si>
  <si>
    <t>Cancelled</t>
  </si>
  <si>
    <t>Neha Verma</t>
  </si>
  <si>
    <t>BK0002</t>
  </si>
  <si>
    <t>Sara Shah</t>
  </si>
  <si>
    <t>Male</t>
  </si>
  <si>
    <t>Manali</t>
  </si>
  <si>
    <t>Manali Couple Retreat</t>
  </si>
  <si>
    <t>Honeymoon</t>
  </si>
  <si>
    <t>Net Banking</t>
  </si>
  <si>
    <t>Confirmed</t>
  </si>
  <si>
    <t>Pooja Mehta</t>
  </si>
  <si>
    <t>BK0003</t>
  </si>
  <si>
    <t>Aanya Singh</t>
  </si>
  <si>
    <t>Manali Adventure</t>
  </si>
  <si>
    <t>Adventure</t>
  </si>
  <si>
    <t>Priya Shah</t>
  </si>
  <si>
    <t>BK0004</t>
  </si>
  <si>
    <t>Sara Patel</t>
  </si>
  <si>
    <t>Singapore</t>
  </si>
  <si>
    <t>Singapore City Tour</t>
  </si>
  <si>
    <t>Family</t>
  </si>
  <si>
    <t>Amit Singh</t>
  </si>
  <si>
    <t>BK0005</t>
  </si>
  <si>
    <t>Rohan Sharma</t>
  </si>
  <si>
    <t>Rajasthan</t>
  </si>
  <si>
    <t>Rajasthan Heritage</t>
  </si>
  <si>
    <t>Group</t>
  </si>
  <si>
    <t>BK0006</t>
  </si>
  <si>
    <t>Anaya Joshi</t>
  </si>
  <si>
    <t>Rajasthan Royal Tour</t>
  </si>
  <si>
    <t>BK0007</t>
  </si>
  <si>
    <t>Anaya Sharma</t>
  </si>
  <si>
    <t>Singapore Luxury</t>
  </si>
  <si>
    <t>BK0008</t>
  </si>
  <si>
    <t>Sara Pawar</t>
  </si>
  <si>
    <t>Rahul Sharma</t>
  </si>
  <si>
    <t>BK0009</t>
  </si>
  <si>
    <t>Bali</t>
  </si>
  <si>
    <t>Bali Beach Escape</t>
  </si>
  <si>
    <t>BK0010</t>
  </si>
  <si>
    <t>Aditya Desai</t>
  </si>
  <si>
    <t>UPI</t>
  </si>
  <si>
    <t>Sanjay Patel</t>
  </si>
  <si>
    <t>BK0011</t>
  </si>
  <si>
    <t>Sara Mehta</t>
  </si>
  <si>
    <t>Thailand Island Tour</t>
  </si>
  <si>
    <t>Credit Card</t>
  </si>
  <si>
    <t>BK0012</t>
  </si>
  <si>
    <t>Aanya Joshi</t>
  </si>
  <si>
    <t>Singapore Explorer</t>
  </si>
  <si>
    <t>BK0013</t>
  </si>
  <si>
    <t>Myra Sharma</t>
  </si>
  <si>
    <t>BK0014</t>
  </si>
  <si>
    <t>Kabir Mehta</t>
  </si>
  <si>
    <t>BK0015</t>
  </si>
  <si>
    <t>Kabir Sharma</t>
  </si>
  <si>
    <t>Kashmir</t>
  </si>
  <si>
    <t>Kashmir Honeymoon</t>
  </si>
  <si>
    <t>BK0016</t>
  </si>
  <si>
    <t>Rohan Mehta</t>
  </si>
  <si>
    <t>Kashmir Valley Tour</t>
  </si>
  <si>
    <t>BK0017</t>
  </si>
  <si>
    <t>Ira Gupta</t>
  </si>
  <si>
    <t>Bali Bliss</t>
  </si>
  <si>
    <t>BK0018</t>
  </si>
  <si>
    <t>Vihaan Sharma</t>
  </si>
  <si>
    <t>BK0019</t>
  </si>
  <si>
    <t>Ishaan Patel</t>
  </si>
  <si>
    <t>BK0020</t>
  </si>
  <si>
    <t>Meera Mehta</t>
  </si>
  <si>
    <t>Dubai</t>
  </si>
  <si>
    <t>Dubai Deluxe</t>
  </si>
  <si>
    <t>BK0021</t>
  </si>
  <si>
    <t>Diya Mehta</t>
  </si>
  <si>
    <t>Bali Adventure</t>
  </si>
  <si>
    <t>BK0022</t>
  </si>
  <si>
    <t>Arjun Patel</t>
  </si>
  <si>
    <t>Goa</t>
  </si>
  <si>
    <t>Goa Beach Paradise</t>
  </si>
  <si>
    <t>BK0023</t>
  </si>
  <si>
    <t>Ira Pawar</t>
  </si>
  <si>
    <t>BK0024</t>
  </si>
  <si>
    <t>Arjun Singh</t>
  </si>
  <si>
    <t>Goa Honeymoon Escape</t>
  </si>
  <si>
    <t>BK0025</t>
  </si>
  <si>
    <t>Rohan Joshi</t>
  </si>
  <si>
    <t>Dubai Adventure</t>
  </si>
  <si>
    <t>BK0026</t>
  </si>
  <si>
    <t>Vihaan Mehta</t>
  </si>
  <si>
    <t>BK0027</t>
  </si>
  <si>
    <t>BK0028</t>
  </si>
  <si>
    <t>Diya Sharma</t>
  </si>
  <si>
    <t>BK0029</t>
  </si>
  <si>
    <t>Vihaan Joshi</t>
  </si>
  <si>
    <t>BK0030</t>
  </si>
  <si>
    <t>BK0031</t>
  </si>
  <si>
    <t>Anaya Mehta</t>
  </si>
  <si>
    <t>BK0032</t>
  </si>
  <si>
    <t>Kabir Joshi</t>
  </si>
  <si>
    <t>BK0033</t>
  </si>
  <si>
    <t>Andaman</t>
  </si>
  <si>
    <t>Andaman Escape</t>
  </si>
  <si>
    <t>BK0034</t>
  </si>
  <si>
    <t>BK0035</t>
  </si>
  <si>
    <t>Aanya Verma</t>
  </si>
  <si>
    <t>BK0036</t>
  </si>
  <si>
    <t>Arjun Shah</t>
  </si>
  <si>
    <t>BK0037</t>
  </si>
  <si>
    <t>Aditya Gupta</t>
  </si>
  <si>
    <t>BK0038</t>
  </si>
  <si>
    <t>Kiara Shah</t>
  </si>
  <si>
    <t>BK0039</t>
  </si>
  <si>
    <t>Ira Desai</t>
  </si>
  <si>
    <t>BK0040</t>
  </si>
  <si>
    <t>Vihaan Shah</t>
  </si>
  <si>
    <t>BK0041</t>
  </si>
  <si>
    <t>Meera Shah</t>
  </si>
  <si>
    <t>BK0042</t>
  </si>
  <si>
    <t>BK0043</t>
  </si>
  <si>
    <t>Anaya Shah</t>
  </si>
  <si>
    <t>Kerala</t>
  </si>
  <si>
    <t>Kerala Nature Retreat</t>
  </si>
  <si>
    <t>BK0044</t>
  </si>
  <si>
    <t>Arjun Mehta</t>
  </si>
  <si>
    <t>BK0045</t>
  </si>
  <si>
    <t>Rohan Patel</t>
  </si>
  <si>
    <t>BK0046</t>
  </si>
  <si>
    <t>Sara Singh</t>
  </si>
  <si>
    <t>BK0047</t>
  </si>
  <si>
    <t>Thailand Family Escape</t>
  </si>
  <si>
    <t>BK0048</t>
  </si>
  <si>
    <t>Diya Gupta</t>
  </si>
  <si>
    <t>BK0049</t>
  </si>
  <si>
    <t>Arjun Desai</t>
  </si>
  <si>
    <t>BK0050</t>
  </si>
  <si>
    <t>Anaya Gupta</t>
  </si>
  <si>
    <t>BK0051</t>
  </si>
  <si>
    <t>Kerala Backwaters</t>
  </si>
  <si>
    <t>BK0052</t>
  </si>
  <si>
    <t>Rohan Gupta</t>
  </si>
  <si>
    <t>Dubai City Explorer</t>
  </si>
  <si>
    <t>BK0053</t>
  </si>
  <si>
    <t>Myra Joshi</t>
  </si>
  <si>
    <t>BK0054</t>
  </si>
  <si>
    <t>BK0055</t>
  </si>
  <si>
    <t>Ishaan Shah</t>
  </si>
  <si>
    <t>BK0056</t>
  </si>
  <si>
    <t>Ishaan Verma</t>
  </si>
  <si>
    <t>BK0057</t>
  </si>
  <si>
    <t>Rohan Singh</t>
  </si>
  <si>
    <t>BK0058</t>
  </si>
  <si>
    <t>BK0059</t>
  </si>
  <si>
    <t>BK0060</t>
  </si>
  <si>
    <t>Kiara Desai</t>
  </si>
  <si>
    <t>BK0061</t>
  </si>
  <si>
    <t>BK0062</t>
  </si>
  <si>
    <t>Vihaan Pawar</t>
  </si>
  <si>
    <t>Kerala Honeymoon Escape</t>
  </si>
  <si>
    <t>BK0063</t>
  </si>
  <si>
    <t>Kiara Gupta</t>
  </si>
  <si>
    <t>BK0064</t>
  </si>
  <si>
    <t>Meera Desai</t>
  </si>
  <si>
    <t>BK0065</t>
  </si>
  <si>
    <t>Kiara Patel</t>
  </si>
  <si>
    <t>BK0066</t>
  </si>
  <si>
    <t>BK0067</t>
  </si>
  <si>
    <t>Sara Sharma</t>
  </si>
  <si>
    <t>BK0068</t>
  </si>
  <si>
    <t>BK0069</t>
  </si>
  <si>
    <t>Kiara Joshi</t>
  </si>
  <si>
    <t>Manali Snow Escape</t>
  </si>
  <si>
    <t>BK0070</t>
  </si>
  <si>
    <t>Kabir Gupta</t>
  </si>
  <si>
    <t>BK0071</t>
  </si>
  <si>
    <t>Rohan Shah</t>
  </si>
  <si>
    <t>BK0072</t>
  </si>
  <si>
    <t>Myra Patel</t>
  </si>
  <si>
    <t>BK0073</t>
  </si>
  <si>
    <t>Aarav Sharma</t>
  </si>
  <si>
    <t>BK0074</t>
  </si>
  <si>
    <t>Aarav Desai</t>
  </si>
  <si>
    <t>Andaman Island Tour</t>
  </si>
  <si>
    <t>BK0075</t>
  </si>
  <si>
    <t>BK0076</t>
  </si>
  <si>
    <t>Meera Gupta</t>
  </si>
  <si>
    <t>BK0077</t>
  </si>
  <si>
    <t>BK0078</t>
  </si>
  <si>
    <t>Kiara Singh</t>
  </si>
  <si>
    <t>BK0079</t>
  </si>
  <si>
    <t>BK0080</t>
  </si>
  <si>
    <t>Meera Verma</t>
  </si>
  <si>
    <t>BK0081</t>
  </si>
  <si>
    <t>Myra Verma</t>
  </si>
  <si>
    <t>BK0082</t>
  </si>
  <si>
    <t>BK0083</t>
  </si>
  <si>
    <t>Arjun Pawar</t>
  </si>
  <si>
    <t>BK0084</t>
  </si>
  <si>
    <t>BK0085</t>
  </si>
  <si>
    <t>BK0086</t>
  </si>
  <si>
    <t>Vivaan Pawar</t>
  </si>
  <si>
    <t>BK0087</t>
  </si>
  <si>
    <t>Rohan Desai</t>
  </si>
  <si>
    <t>BK0088</t>
  </si>
  <si>
    <t>BK0089</t>
  </si>
  <si>
    <t>BK0090</t>
  </si>
  <si>
    <t>BK0091</t>
  </si>
  <si>
    <t>Diya Pawar</t>
  </si>
  <si>
    <t>BK0092</t>
  </si>
  <si>
    <t>BK0093</t>
  </si>
  <si>
    <t>Aarav Singh</t>
  </si>
  <si>
    <t>BK0094</t>
  </si>
  <si>
    <t>Aditya Verma</t>
  </si>
  <si>
    <t>BK0095</t>
  </si>
  <si>
    <t>BK0096</t>
  </si>
  <si>
    <t>Aanya Pawar</t>
  </si>
  <si>
    <t>BK0097</t>
  </si>
  <si>
    <t>Vivaan Patel</t>
  </si>
  <si>
    <t>BK0098</t>
  </si>
  <si>
    <t>BK0099</t>
  </si>
  <si>
    <t>BK0100</t>
  </si>
  <si>
    <t>BK0101</t>
  </si>
  <si>
    <t>BK0102</t>
  </si>
  <si>
    <t>Vivaan Joshi</t>
  </si>
  <si>
    <t>BK0103</t>
  </si>
  <si>
    <t>BK0104</t>
  </si>
  <si>
    <t>BK0105</t>
  </si>
  <si>
    <t>Sara Joshi</t>
  </si>
  <si>
    <t>Goa Adventure</t>
  </si>
  <si>
    <t>BK0106</t>
  </si>
  <si>
    <t>Diya Shah</t>
  </si>
  <si>
    <t>BK0107</t>
  </si>
  <si>
    <t>Aarav Pawar</t>
  </si>
  <si>
    <t>BK0108</t>
  </si>
  <si>
    <t>BK0109</t>
  </si>
  <si>
    <t>Rohan Verma</t>
  </si>
  <si>
    <t>BK0110</t>
  </si>
  <si>
    <t>BK0111</t>
  </si>
  <si>
    <t>Kabir Patel</t>
  </si>
  <si>
    <t>BK0112</t>
  </si>
  <si>
    <t>Aanya Patel</t>
  </si>
  <si>
    <t>BK0113</t>
  </si>
  <si>
    <t>Aditya Patel</t>
  </si>
  <si>
    <t>BK0114</t>
  </si>
  <si>
    <t>BK0115</t>
  </si>
  <si>
    <t>Kiara Sharma</t>
  </si>
  <si>
    <t>BK0116</t>
  </si>
  <si>
    <t>Vivaan Sharma</t>
  </si>
  <si>
    <t>BK0117</t>
  </si>
  <si>
    <t>Ishaan Desai</t>
  </si>
  <si>
    <t>BK0118</t>
  </si>
  <si>
    <t>Sara Gupta</t>
  </si>
  <si>
    <t>BK0119</t>
  </si>
  <si>
    <t>BK0120</t>
  </si>
  <si>
    <t>Ira Patel</t>
  </si>
  <si>
    <t>BK0121</t>
  </si>
  <si>
    <t>BK0122</t>
  </si>
  <si>
    <t>BK0123</t>
  </si>
  <si>
    <t>BK0124</t>
  </si>
  <si>
    <t>BK0125</t>
  </si>
  <si>
    <t>BK0126</t>
  </si>
  <si>
    <t>Meera Pawar</t>
  </si>
  <si>
    <t>BK0127</t>
  </si>
  <si>
    <t>BK0128</t>
  </si>
  <si>
    <t>BK0129</t>
  </si>
  <si>
    <t>Diya Patel</t>
  </si>
  <si>
    <t>BK0130</t>
  </si>
  <si>
    <t>BK0131</t>
  </si>
  <si>
    <t>BK0132</t>
  </si>
  <si>
    <t>BK0133</t>
  </si>
  <si>
    <t>BK0134</t>
  </si>
  <si>
    <t>Anaya Verma</t>
  </si>
  <si>
    <t>BK0135</t>
  </si>
  <si>
    <t>BK0136</t>
  </si>
  <si>
    <t>BK0137</t>
  </si>
  <si>
    <t>Arjun Joshi</t>
  </si>
  <si>
    <t>BK0138</t>
  </si>
  <si>
    <t>BK0139</t>
  </si>
  <si>
    <t>BK0140</t>
  </si>
  <si>
    <t>BK0141</t>
  </si>
  <si>
    <t>BK0142</t>
  </si>
  <si>
    <t>Aanya Desai</t>
  </si>
  <si>
    <t>BK0143</t>
  </si>
  <si>
    <t>BK0144</t>
  </si>
  <si>
    <t>Aanya Sharma</t>
  </si>
  <si>
    <t>BK0145</t>
  </si>
  <si>
    <t>BK0146</t>
  </si>
  <si>
    <t>Vivaan Verma</t>
  </si>
  <si>
    <t>BK0147</t>
  </si>
  <si>
    <t>BK0148</t>
  </si>
  <si>
    <t>BK0149</t>
  </si>
  <si>
    <t>BK0150</t>
  </si>
  <si>
    <t>BK0151</t>
  </si>
  <si>
    <t>BK0152</t>
  </si>
  <si>
    <t>BK0153</t>
  </si>
  <si>
    <t>BK0154</t>
  </si>
  <si>
    <t>BK0155</t>
  </si>
  <si>
    <t>BK0156</t>
  </si>
  <si>
    <t>BK0157</t>
  </si>
  <si>
    <t>BK0158</t>
  </si>
  <si>
    <t>Vihaan Patel</t>
  </si>
  <si>
    <t>BK0159</t>
  </si>
  <si>
    <t>BK0160</t>
  </si>
  <si>
    <t>BK0161</t>
  </si>
  <si>
    <t>Kabir Shah</t>
  </si>
  <si>
    <t>BK0162</t>
  </si>
  <si>
    <t>Diya Verma</t>
  </si>
  <si>
    <t>BK0163</t>
  </si>
  <si>
    <t>BK0164</t>
  </si>
  <si>
    <t>BK0165</t>
  </si>
  <si>
    <t>Meera Patel</t>
  </si>
  <si>
    <t>BK0166</t>
  </si>
  <si>
    <t>Aanya Mehta</t>
  </si>
  <si>
    <t>BK0167</t>
  </si>
  <si>
    <t>Aditya Singh</t>
  </si>
  <si>
    <t>BK0168</t>
  </si>
  <si>
    <t>BK0169</t>
  </si>
  <si>
    <t>BK0170</t>
  </si>
  <si>
    <t>BK0171</t>
  </si>
  <si>
    <t>BK0172</t>
  </si>
  <si>
    <t>Aarav Mehta</t>
  </si>
  <si>
    <t>BK0173</t>
  </si>
  <si>
    <t>Anaya Desai</t>
  </si>
  <si>
    <t>BK0174</t>
  </si>
  <si>
    <t>Meera Sharma</t>
  </si>
  <si>
    <t>BK0175</t>
  </si>
  <si>
    <t>BK0176</t>
  </si>
  <si>
    <t>Ishaan Pawar</t>
  </si>
  <si>
    <t>BK0177</t>
  </si>
  <si>
    <t>BK0178</t>
  </si>
  <si>
    <t>Sara Desai</t>
  </si>
  <si>
    <t>BK0179</t>
  </si>
  <si>
    <t>Ishaan Mehta</t>
  </si>
  <si>
    <t>BK0180</t>
  </si>
  <si>
    <t>Ishaan Gupta</t>
  </si>
  <si>
    <t>BK0181</t>
  </si>
  <si>
    <t>BK0182</t>
  </si>
  <si>
    <t>Ira Singh</t>
  </si>
  <si>
    <t>BK0183</t>
  </si>
  <si>
    <t>BK0184</t>
  </si>
  <si>
    <t>BK0185</t>
  </si>
  <si>
    <t>BK0186</t>
  </si>
  <si>
    <t>Diya Joshi</t>
  </si>
  <si>
    <t>BK0187</t>
  </si>
  <si>
    <t>BK0188</t>
  </si>
  <si>
    <t>Vivaan Gupta</t>
  </si>
  <si>
    <t>BK0189</t>
  </si>
  <si>
    <t>BK0190</t>
  </si>
  <si>
    <t>Vihaan Verma</t>
  </si>
  <si>
    <t>BK0191</t>
  </si>
  <si>
    <t>Ira Shah</t>
  </si>
  <si>
    <t>BK0192</t>
  </si>
  <si>
    <t>BK0193</t>
  </si>
  <si>
    <t>BK0194</t>
  </si>
  <si>
    <t>Meera Joshi</t>
  </si>
  <si>
    <t>BK0195</t>
  </si>
  <si>
    <t>BK0196</t>
  </si>
  <si>
    <t>Vihaan Gupta</t>
  </si>
  <si>
    <t>BK0197</t>
  </si>
  <si>
    <t>Rohan Pawar</t>
  </si>
  <si>
    <t>BK0198</t>
  </si>
  <si>
    <t>Vivaan Singh</t>
  </si>
  <si>
    <t>BK0199</t>
  </si>
  <si>
    <t>BK0200</t>
  </si>
  <si>
    <t>Aditya Joshi</t>
  </si>
  <si>
    <t>BK0201</t>
  </si>
  <si>
    <t>BK0202</t>
  </si>
  <si>
    <t>BK0203</t>
  </si>
  <si>
    <t>BK0204</t>
  </si>
  <si>
    <t>BK0205</t>
  </si>
  <si>
    <t>BK0206</t>
  </si>
  <si>
    <t>BK0207</t>
  </si>
  <si>
    <t>BK0208</t>
  </si>
  <si>
    <t>BK0209</t>
  </si>
  <si>
    <t>Myra Shah</t>
  </si>
  <si>
    <t>BK0210</t>
  </si>
  <si>
    <t>BK0211</t>
  </si>
  <si>
    <t>BK0212</t>
  </si>
  <si>
    <t>BK0213</t>
  </si>
  <si>
    <t>BK0214</t>
  </si>
  <si>
    <t>BK0215</t>
  </si>
  <si>
    <t>BK0216</t>
  </si>
  <si>
    <t>BK0217</t>
  </si>
  <si>
    <t>BK0218</t>
  </si>
  <si>
    <t>Aarav Gupta</t>
  </si>
  <si>
    <t>BK0219</t>
  </si>
  <si>
    <t>BK0220</t>
  </si>
  <si>
    <t>BK0221</t>
  </si>
  <si>
    <t>BK0222</t>
  </si>
  <si>
    <t>BK0223</t>
  </si>
  <si>
    <t>BK0224</t>
  </si>
  <si>
    <t>Ishaan Sharma</t>
  </si>
  <si>
    <t>BK0225</t>
  </si>
  <si>
    <t>BK0226</t>
  </si>
  <si>
    <t>BK0227</t>
  </si>
  <si>
    <t>Kiara Pawar</t>
  </si>
  <si>
    <t>BK0228</t>
  </si>
  <si>
    <t>BK0229</t>
  </si>
  <si>
    <t>BK0230</t>
  </si>
  <si>
    <t>BK0231</t>
  </si>
  <si>
    <t>BK0232</t>
  </si>
  <si>
    <t>Arjun Sharma</t>
  </si>
  <si>
    <t>BK0233</t>
  </si>
  <si>
    <t>Vivaan Desai</t>
  </si>
  <si>
    <t>BK0234</t>
  </si>
  <si>
    <t>BK0235</t>
  </si>
  <si>
    <t>BK0236</t>
  </si>
  <si>
    <t>BK0237</t>
  </si>
  <si>
    <t>BK0238</t>
  </si>
  <si>
    <t>BK0239</t>
  </si>
  <si>
    <t>BK0240</t>
  </si>
  <si>
    <t>Ishaan Singh</t>
  </si>
  <si>
    <t>BK0241</t>
  </si>
  <si>
    <t>BK0242</t>
  </si>
  <si>
    <t>BK0243</t>
  </si>
  <si>
    <t>BK0244</t>
  </si>
  <si>
    <t>BK0245</t>
  </si>
  <si>
    <t>Meera Singh</t>
  </si>
  <si>
    <t>BK0246</t>
  </si>
  <si>
    <t>BK0247</t>
  </si>
  <si>
    <t>Anaya Pawar</t>
  </si>
  <si>
    <t>BK0248</t>
  </si>
  <si>
    <t>BK0249</t>
  </si>
  <si>
    <t>BK0250</t>
  </si>
  <si>
    <t>BK0251</t>
  </si>
  <si>
    <t>BK0252</t>
  </si>
  <si>
    <t>Vihaan Singh</t>
  </si>
  <si>
    <t>BK0253</t>
  </si>
  <si>
    <t>BK0254</t>
  </si>
  <si>
    <t>BK0255</t>
  </si>
  <si>
    <t>BK0256</t>
  </si>
  <si>
    <t>BK0257</t>
  </si>
  <si>
    <t>Arjun Gupta</t>
  </si>
  <si>
    <t>BK0258</t>
  </si>
  <si>
    <t>BK0259</t>
  </si>
  <si>
    <t>BK0260</t>
  </si>
  <si>
    <t>BK0261</t>
  </si>
  <si>
    <t>BK0262</t>
  </si>
  <si>
    <t>BK0263</t>
  </si>
  <si>
    <t>BK0264</t>
  </si>
  <si>
    <t>BK0265</t>
  </si>
  <si>
    <t>BK0266</t>
  </si>
  <si>
    <t>Aditya Mehta</t>
  </si>
  <si>
    <t>BK0267</t>
  </si>
  <si>
    <t>BK0268</t>
  </si>
  <si>
    <t>Kabir Singh</t>
  </si>
  <si>
    <t>BK0269</t>
  </si>
  <si>
    <t>BK0270</t>
  </si>
  <si>
    <t>BK0271</t>
  </si>
  <si>
    <t>BK0272</t>
  </si>
  <si>
    <t>BK0273</t>
  </si>
  <si>
    <t>BK0274</t>
  </si>
  <si>
    <t>BK0275</t>
  </si>
  <si>
    <t>BK0276</t>
  </si>
  <si>
    <t>BK0277</t>
  </si>
  <si>
    <t>BK0278</t>
  </si>
  <si>
    <t>BK0279</t>
  </si>
  <si>
    <t>BK0280</t>
  </si>
  <si>
    <t>BK0281</t>
  </si>
  <si>
    <t>BK0282</t>
  </si>
  <si>
    <t>Diya Singh</t>
  </si>
  <si>
    <t>BK0283</t>
  </si>
  <si>
    <t>BK0284</t>
  </si>
  <si>
    <t>BK0285</t>
  </si>
  <si>
    <t>BK0286</t>
  </si>
  <si>
    <t>BK0287</t>
  </si>
  <si>
    <t>BK0288</t>
  </si>
  <si>
    <t>Myra Gupta</t>
  </si>
  <si>
    <t>BK0289</t>
  </si>
  <si>
    <t>BK0290</t>
  </si>
  <si>
    <t>BK0291</t>
  </si>
  <si>
    <t>BK0292</t>
  </si>
  <si>
    <t>BK0293</t>
  </si>
  <si>
    <t>BK0294</t>
  </si>
  <si>
    <t>BK0295</t>
  </si>
  <si>
    <t>BK0296</t>
  </si>
  <si>
    <t>Aarav Joshi</t>
  </si>
  <si>
    <t>BK0297</t>
  </si>
  <si>
    <t>BK0298</t>
  </si>
  <si>
    <t>Anaya Patel</t>
  </si>
  <si>
    <t>BK0299</t>
  </si>
  <si>
    <t>BK0300</t>
  </si>
  <si>
    <t>Column</t>
  </si>
  <si>
    <t>Description</t>
  </si>
  <si>
    <t>Unique ID for every booking</t>
  </si>
  <si>
    <t>Date on which booking was made</t>
  </si>
  <si>
    <t>Customer full name</t>
  </si>
  <si>
    <t>Customer gender</t>
  </si>
  <si>
    <t>Customer age</t>
  </si>
  <si>
    <t>Travel destination</t>
  </si>
  <si>
    <t>Selected travel package</t>
  </si>
  <si>
    <t>Family, Honeymoon, Adventure, Group or Luxury</t>
  </si>
  <si>
    <t>Number of travelers</t>
  </si>
  <si>
    <t>Total booking revenue in INR</t>
  </si>
  <si>
    <t>UPI, Credit Card, Net Banking or Cash</t>
  </si>
  <si>
    <t>Confirmed or Cancelled</t>
  </si>
  <si>
    <t>Planned travel date</t>
  </si>
  <si>
    <t>Employee responsible for booking</t>
  </si>
  <si>
    <t>Rating from 3 to 5</t>
  </si>
  <si>
    <t>Row Labels</t>
  </si>
  <si>
    <t>Grand Total</t>
  </si>
  <si>
    <t>Sum of Booking Amount</t>
  </si>
  <si>
    <t>Count of Booking ID</t>
  </si>
  <si>
    <t>Jan</t>
  </si>
  <si>
    <t>Feb</t>
  </si>
  <si>
    <t>Mar</t>
  </si>
  <si>
    <t>Apr</t>
  </si>
  <si>
    <t>May</t>
  </si>
  <si>
    <t>Jun</t>
  </si>
  <si>
    <t>Jul</t>
  </si>
  <si>
    <t>Aug</t>
  </si>
  <si>
    <t>Sep</t>
  </si>
  <si>
    <t>Oct</t>
  </si>
  <si>
    <t>Nov</t>
  </si>
  <si>
    <t>Dec</t>
  </si>
  <si>
    <t>2025</t>
  </si>
  <si>
    <t>Monthly Revenue Trend</t>
  </si>
  <si>
    <t>Payment Method Analysis</t>
  </si>
  <si>
    <t>Salesperson Performance</t>
  </si>
  <si>
    <t>TOURS &amp; TRAVELS BOOKING &amp; SALES ANALYTICS DASHBOARD</t>
  </si>
  <si>
    <t>Sum of Travelers</t>
  </si>
  <si>
    <t>Average of Booking Amount</t>
  </si>
  <si>
    <r>
      <rPr>
        <b/>
        <sz val="11"/>
        <color theme="1"/>
        <rFont val="Calibri"/>
        <family val="2"/>
        <scheme val="minor"/>
      </rPr>
      <t>TOTAL BOOKINGS</t>
    </r>
    <r>
      <rPr>
        <sz val="11"/>
        <color theme="1"/>
        <rFont val="Calibri"/>
        <family val="2"/>
        <scheme val="minor"/>
      </rPr>
      <t xml:space="preserve">
</t>
    </r>
    <r>
      <rPr>
        <b/>
        <sz val="20"/>
        <color theme="1"/>
        <rFont val="Calibri"/>
        <family val="2"/>
        <scheme val="minor"/>
      </rPr>
      <t>300</t>
    </r>
  </si>
  <si>
    <r>
      <rPr>
        <b/>
        <sz val="11"/>
        <color theme="1"/>
        <rFont val="Calibri"/>
        <family val="2"/>
        <scheme val="minor"/>
      </rPr>
      <t>TOTAL REVENUE</t>
    </r>
    <r>
      <rPr>
        <sz val="11"/>
        <color theme="1"/>
        <rFont val="Calibri"/>
        <family val="2"/>
        <scheme val="minor"/>
      </rPr>
      <t xml:space="preserve">
</t>
    </r>
    <r>
      <rPr>
        <b/>
        <sz val="20"/>
        <color theme="1"/>
        <rFont val="Calibri"/>
        <family val="2"/>
        <scheme val="minor"/>
      </rPr>
      <t>₹9,690,700</t>
    </r>
  </si>
  <si>
    <r>
      <rPr>
        <b/>
        <sz val="11"/>
        <color theme="1"/>
        <rFont val="Calibri"/>
        <family val="2"/>
        <scheme val="minor"/>
      </rPr>
      <t>TOTAL TRAVELERS</t>
    </r>
    <r>
      <rPr>
        <sz val="11"/>
        <color theme="1"/>
        <rFont val="Calibri"/>
        <family val="2"/>
        <scheme val="minor"/>
      </rPr>
      <t xml:space="preserve">
</t>
    </r>
    <r>
      <rPr>
        <b/>
        <sz val="20"/>
        <color theme="1"/>
        <rFont val="Calibri"/>
        <family val="2"/>
        <scheme val="minor"/>
      </rPr>
      <t>1044</t>
    </r>
  </si>
  <si>
    <r>
      <rPr>
        <b/>
        <sz val="11"/>
        <color theme="1"/>
        <rFont val="Calibri"/>
        <family val="2"/>
        <scheme val="minor"/>
      </rPr>
      <t>AVERAGE BOOKING VALUE</t>
    </r>
    <r>
      <rPr>
        <sz val="11"/>
        <color theme="1"/>
        <rFont val="Calibri"/>
        <family val="2"/>
        <scheme val="minor"/>
      </rPr>
      <t xml:space="preserve">
</t>
    </r>
    <r>
      <rPr>
        <b/>
        <sz val="20"/>
        <color theme="1"/>
        <rFont val="Calibri"/>
        <family val="2"/>
        <scheme val="minor"/>
      </rPr>
      <t>₹32,302</t>
    </r>
  </si>
  <si>
    <r>
      <rPr>
        <b/>
        <sz val="11"/>
        <color theme="1"/>
        <rFont val="Calibri"/>
        <family val="2"/>
        <scheme val="minor"/>
      </rPr>
      <t>CONFIRMED BOOKINGS</t>
    </r>
    <r>
      <rPr>
        <sz val="11"/>
        <color theme="1"/>
        <rFont val="Calibri"/>
        <family val="2"/>
        <scheme val="minor"/>
      </rPr>
      <t xml:space="preserve">
</t>
    </r>
    <r>
      <rPr>
        <b/>
        <sz val="20"/>
        <color theme="1"/>
        <rFont val="Calibri"/>
        <family val="2"/>
        <scheme val="minor"/>
      </rPr>
      <t>239</t>
    </r>
  </si>
  <si>
    <r>
      <rPr>
        <b/>
        <sz val="11"/>
        <color theme="1"/>
        <rFont val="Calibri"/>
        <family val="2"/>
        <scheme val="minor"/>
      </rPr>
      <t>CANCELLED BOOKINGS</t>
    </r>
    <r>
      <rPr>
        <sz val="11"/>
        <color theme="1"/>
        <rFont val="Calibri"/>
        <family val="2"/>
        <scheme val="minor"/>
      </rPr>
      <t xml:space="preserve">
</t>
    </r>
    <r>
      <rPr>
        <b/>
        <sz val="20"/>
        <color theme="1"/>
        <rFont val="Calibri"/>
        <family val="2"/>
        <scheme val="minor"/>
      </rPr>
      <t>61</t>
    </r>
  </si>
  <si>
    <t>S</t>
  </si>
  <si>
    <t>Revenue by Destination</t>
  </si>
  <si>
    <t>Bookings by Package Type</t>
  </si>
  <si>
    <t>Monthly Revenue &amp; Bookings</t>
  </si>
  <si>
    <t>KPI helper pivot</t>
  </si>
  <si>
    <t>Sum of Revenue</t>
  </si>
  <si>
    <t>KPI values (formulas read the pivot tables; they feed the dashboard cards)</t>
  </si>
  <si>
    <t>Total Bookings</t>
  </si>
  <si>
    <t>Total Revenue</t>
  </si>
  <si>
    <t>Total Travelers</t>
  </si>
  <si>
    <t>Average Booking Value</t>
  </si>
  <si>
    <t>Confirmed Bookings</t>
  </si>
  <si>
    <t>Booking Status total (donut centre)</t>
  </si>
  <si>
    <t>Payment Method total (donut centre)</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</si>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</sst>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m\-yyyy"/>
    <numFmt numFmtId="165" formatCode="\₹\ #,##0"/>
    <numFmt numFmtId="166" formatCode="[&gt;=1000000]&quot;₹&quot;0.00,,&quot;M&quot;;[&gt;=1000]&quot;₹&quot;0.0,&quot;K&quot;;&quot;₹&quot;0"/>
  </numFmts>
  <fonts count="8" x14ac:knownFonts="1">
    <font>
      <sz val="11"/>
      <color theme="1"/>
      <name val="Calibri"/>
      <family val="2"/>
      <scheme val="minor"/>
    </font>
    <font>
      <b/>
      <sz val="11"/>
      <color rgb="FFFFFFFF"/>
      <name val="Calibri"/>
    </font>
    <font>
      <b/>
      <sz val="16"/>
      <color theme="1"/>
      <name val="Calibri"/>
      <family val="2"/>
      <scheme val="minor"/>
    </font>
    <font>
      <b/>
      <sz val="22"/>
      <color theme="0"/>
      <name val="Calibri"/>
      <family val="2"/>
      <scheme val="minor"/>
    </font>
    <font>
      <b/>
      <sz val="11"/>
      <color theme="1"/>
      <name val="Calibri"/>
      <family val="2"/>
      <scheme val="minor"/>
    </font>
    <font>
      <b/>
      <sz val="20"/>
      <color theme="1"/>
      <name val="Calibri"/>
      <family val="2"/>
      <scheme val="minor"/>
    </font>
    <font>
      <b/>
      <sz val="14"/>
      <color rgb="FF0B1F4D"/>
      <name val="Arial"/>
      <family val="2"/>
    </font>
    <font>
      <i/>
      <sz val="9"/>
      <color rgb="FF5B6B85"/>
      <name val="Arial"/>
      <family val="2"/>
    </font>
  </fonts>
  <fills count="10">
    <fill>
      <patternFill patternType="none"/>
    </fill>
    <fill>
      <patternFill patternType="gray125"/>
    </fill>
    <fill>
      <patternFill patternType="solid">
        <fgColor rgb="FF0B1F4D"/>
      </patternFill>
    </fill>
    <fill>
      <patternFill patternType="solid">
        <fgColor theme="3" tint="-0.499984740745262"/>
        <bgColor indexed="64"/>
      </patternFill>
    </fill>
    <fill>
      <patternFill patternType="solid">
        <fgColor rgb="FFDDEBF7"/>
        <bgColor indexed="64"/>
      </patternFill>
    </fill>
    <fill>
      <patternFill patternType="solid">
        <fgColor rgb="FFE2F0D9"/>
        <bgColor indexed="64"/>
      </patternFill>
    </fill>
    <fill>
      <patternFill patternType="solid">
        <fgColor rgb="FFFCE4D6"/>
        <bgColor indexed="64"/>
      </patternFill>
    </fill>
    <fill>
      <patternFill patternType="solid">
        <fgColor rgb="FFFFF2CC"/>
        <bgColor indexed="64"/>
      </patternFill>
    </fill>
    <fill>
      <patternFill patternType="solid">
        <fgColor rgb="FFE4DFEC"/>
        <bgColor indexed="64"/>
      </patternFill>
    </fill>
    <fill>
      <patternFill patternType="solid">
        <fgColor rgb="FFF2F6F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2" borderId="0" xfId="0" applyFont="1" applyFill="1" applyAlignment="1">
      <alignment horizontal="center"/>
    </xf>
    <xf numFmtId="164" fontId="0" fillId="0" borderId="0" xfId="0" applyNumberFormat="1"/>
    <xf numFmtId="165"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xf numFmtId="0" fontId="0" fillId="0" borderId="0" xfId="0" applyNumberFormat="1"/>
    <xf numFmtId="0" fontId="0" fillId="9" borderId="0" xfId="0" applyFill="1"/>
    <xf numFmtId="0" fontId="6" fillId="0" borderId="0" xfId="0" applyFont="1"/>
    <xf numFmtId="0" fontId="7" fillId="0" borderId="0" xfId="0" applyFont="1"/>
    <xf numFmtId="3" fontId="0" fillId="0" borderId="0" xfId="0" applyNumberFormat="1"/>
    <xf numFmtId="166" fontId="0" fillId="0" borderId="0" xfId="0" applyNumberFormat="1"/>
    <xf numFmtId="0" fontId="2" fillId="0" borderId="0" xfId="0" applyFont="1" applyAlignment="1">
      <alignment horizontal="center"/>
    </xf>
    <xf numFmtId="0" fontId="0" fillId="0" borderId="0" xfId="0" applyAlignment="1">
      <alignment horizontal="center"/>
    </xf>
    <xf numFmtId="0" fontId="3" fillId="3" borderId="0" xfId="0" applyFont="1" applyFill="1" applyAlignment="1">
      <alignment horizontal="center" vertical="center"/>
    </xf>
    <xf numFmtId="0" fontId="0" fillId="3" borderId="0" xfId="0" applyFill="1" applyAlignment="1">
      <alignment horizontal="center" vertical="center"/>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horizontal="center" vertical="center"/>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0" fillId="7" borderId="1" xfId="0" applyFill="1" applyBorder="1" applyAlignment="1">
      <alignment horizontal="center" vertical="center" wrapText="1"/>
    </xf>
    <xf numFmtId="0" fontId="0" fillId="7" borderId="1" xfId="0" applyFill="1" applyBorder="1" applyAlignment="1">
      <alignment horizontal="center" vertical="center"/>
    </xf>
    <xf numFmtId="0" fontId="0" fillId="8" borderId="1" xfId="0" applyFill="1" applyBorder="1" applyAlignment="1">
      <alignment horizontal="center" vertical="center" wrapText="1"/>
    </xf>
    <xf numFmtId="0" fontId="0" fillId="8" borderId="1" xfId="0" applyFill="1" applyBorder="1" applyAlignment="1">
      <alignment horizontal="center" vertical="center"/>
    </xf>
  </cellXfs>
  <cellStyles count="1">
    <cellStyle name="Normal" xfId="0" builtinId="0"/>
  </cellStyles>
  <dxfs count="0"/>
  <tableStyles count="0" defaultTableStyle="TableStyleMedium9" defaultPivotStyle="PivotStyleLight16"/>
  <colors>
    <mruColors>
      <color rgb="FFFCE4D6"/>
      <color rgb="FFE4DFEC"/>
      <color rgb="FFFFF2CC"/>
      <color rgb="FFE2F0D9"/>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26" Type="http://schemas.microsoft.com/office/2007/relationships/slicerCache" Target="slicerCaches/slicerCache12.xml"/><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microsoft.com/office/2007/relationships/slicerCache" Target="slicerCaches/slicerCache11.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0.xml"/><Relationship Id="rId32"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07/relationships/slicerCache" Target="slicerCaches/slicerCache9.xml"/><Relationship Id="rId28" Type="http://schemas.microsoft.com/office/2007/relationships/slicerCache" Target="slicerCaches/slicerCache14.xml"/><Relationship Id="rId10" Type="http://schemas.openxmlformats.org/officeDocument/2006/relationships/worksheet" Target="worksheets/sheet10.xml"/><Relationship Id="rId19" Type="http://schemas.microsoft.com/office/2007/relationships/slicerCache" Target="slicerCaches/slicerCache5.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8.xml"/><Relationship Id="rId27" Type="http://schemas.microsoft.com/office/2007/relationships/slicerCache" Target="slicerCaches/slicerCache13.xml"/><Relationship Id="rId30" Type="http://schemas.openxmlformats.org/officeDocument/2006/relationships/styles" Target="styles.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9.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0.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pivotSource>
    <c:name>[Tours_Travels_Dataset_300_Rows (1).xlsx]Pivot Data!PT_Revenue_Destination</c:name>
    <c:fmtId val="1"/>
  </c:pivotSource>
  <c:chart>
    <c:autoTitleDeleted val="1"/>
    <c:pivotFmts>
      <c:pivotFmt>
        <c:idx val="0"/>
        <c:spPr>
          <a:solidFill>
            <a:srgbClr val="1E90FF"/>
          </a:solidFill>
          <a:ln>
            <a:noFill/>
          </a:ln>
        </c:spPr>
        <c:marker>
          <c:symbol val="none"/>
        </c:marker>
      </c:pivotFmt>
      <c:pivotFmt>
        <c:idx val="1"/>
        <c:marker>
          <c:symbol val="none"/>
        </c:marker>
      </c:pivotFmt>
    </c:pivotFmts>
    <c:plotArea>
      <c:layout/>
      <c:barChart>
        <c:barDir val="bar"/>
        <c:grouping val="clustered"/>
        <c:varyColors val="0"/>
        <c:ser>
          <c:idx val="0"/>
          <c:order val="0"/>
          <c:tx>
            <c:strRef>
              <c:f>'Pivot Data'!$B$3</c:f>
              <c:strCache>
                <c:ptCount val="1"/>
                <c:pt idx="0">
                  <c:v>Total</c:v>
                </c:pt>
              </c:strCache>
            </c:strRef>
          </c:tx>
          <c:invertIfNegative val="0"/>
          <c:cat>
            <c:strRef>
              <c:f>'Pivot Data'!$A$4:$A$14</c:f>
              <c:strCache>
                <c:ptCount val="10"/>
                <c:pt idx="0">
                  <c:v>Singapore</c:v>
                </c:pt>
                <c:pt idx="1">
                  <c:v>Kashmir</c:v>
                </c:pt>
                <c:pt idx="2">
                  <c:v>Bali</c:v>
                </c:pt>
                <c:pt idx="3">
                  <c:v>Rajasthan</c:v>
                </c:pt>
                <c:pt idx="4">
                  <c:v>Dubai</c:v>
                </c:pt>
                <c:pt idx="5">
                  <c:v>Thailand</c:v>
                </c:pt>
                <c:pt idx="6">
                  <c:v>Goa</c:v>
                </c:pt>
                <c:pt idx="7">
                  <c:v>Andaman</c:v>
                </c:pt>
                <c:pt idx="8">
                  <c:v>Manali</c:v>
                </c:pt>
                <c:pt idx="9">
                  <c:v>Kerala</c:v>
                </c:pt>
              </c:strCache>
            </c:strRef>
          </c:cat>
          <c:val>
            <c:numRef>
              <c:f>'Pivot Data'!$B$4:$B$14</c:f>
              <c:numCache>
                <c:formatCode>\₹\ #,##0</c:formatCode>
                <c:ptCount val="10"/>
                <c:pt idx="0">
                  <c:v>1122900</c:v>
                </c:pt>
                <c:pt idx="1">
                  <c:v>838300</c:v>
                </c:pt>
                <c:pt idx="2">
                  <c:v>731800</c:v>
                </c:pt>
                <c:pt idx="3">
                  <c:v>648700</c:v>
                </c:pt>
                <c:pt idx="4">
                  <c:v>618700</c:v>
                </c:pt>
                <c:pt idx="5">
                  <c:v>612900</c:v>
                </c:pt>
                <c:pt idx="6">
                  <c:v>504400</c:v>
                </c:pt>
                <c:pt idx="7">
                  <c:v>500600</c:v>
                </c:pt>
                <c:pt idx="8">
                  <c:v>436400</c:v>
                </c:pt>
                <c:pt idx="9">
                  <c:v>217600</c:v>
                </c:pt>
              </c:numCache>
            </c:numRef>
          </c:val>
          <c:extLst>
            <c:ext xmlns:c16="http://schemas.microsoft.com/office/drawing/2014/chart" uri="{C3380CC4-5D6E-409C-BE32-E72D297353CC}">
              <c16:uniqueId val="{00000000-CEE1-4D9F-BF29-B2E5CF637B4B}"/>
            </c:ext>
          </c:extLst>
        </c:ser>
        <c:dLbls>
          <c:showLegendKey val="0"/>
          <c:showVal val="0"/>
          <c:showCatName val="0"/>
          <c:showSerName val="0"/>
          <c:showPercent val="0"/>
          <c:showBubbleSize val="0"/>
        </c:dLbls>
        <c:gapWidth val="55"/>
        <c:axId val="111111"/>
        <c:axId val="222222"/>
      </c:barChart>
      <c:catAx>
        <c:axId val="111111"/>
        <c:scaling>
          <c:orientation val="maxMin"/>
        </c:scaling>
        <c:delete val="0"/>
        <c:axPos val="l"/>
        <c:numFmt formatCode="General" sourceLinked="0"/>
        <c:majorTickMark val="none"/>
        <c:minorTickMark val="none"/>
        <c:tickLblPos val="nextTo"/>
        <c:spPr>
          <a:noFill/>
          <a:ln w="9525">
            <a:solidFill>
              <a:srgbClr val="C9D4E6"/>
            </a:solidFill>
          </a:ln>
        </c:spPr>
        <c:txPr>
          <a:bodyPr/>
          <a:lstStyle/>
          <a:p>
            <a:pPr>
              <a:defRPr sz="900" b="0">
                <a:solidFill>
                  <a:srgbClr val="0B1F4D"/>
                </a:solidFill>
                <a:latin typeface="Arial"/>
                <a:cs typeface="Arial"/>
              </a:defRPr>
            </a:pPr>
            <a:endParaRPr lang="en-US"/>
          </a:p>
        </c:txPr>
        <c:crossAx val="222222"/>
        <c:crosses val="autoZero"/>
        <c:auto val="1"/>
        <c:lblAlgn val="ctr"/>
        <c:lblOffset val="100"/>
        <c:noMultiLvlLbl val="0"/>
      </c:catAx>
      <c:valAx>
        <c:axId val="222222"/>
        <c:scaling>
          <c:orientation val="minMax"/>
          <c:min val="0"/>
        </c:scaling>
        <c:delete val="0"/>
        <c:axPos val="b"/>
        <c:majorGridlines>
          <c:spPr>
            <a:ln w="6350">
              <a:solidFill>
                <a:srgbClr val="E3EAF5"/>
              </a:solidFill>
              <a:prstDash val="dash"/>
            </a:ln>
          </c:spPr>
        </c:majorGridlines>
        <c:numFmt formatCode="[&gt;=1000000]0.0,,&quot;M&quot;;[&gt;=1000]0,&quot;K&quot;;0" sourceLinked="0"/>
        <c:majorTickMark val="none"/>
        <c:minorTickMark val="none"/>
        <c:tickLblPos val="nextTo"/>
        <c:spPr>
          <a:noFill/>
          <a:ln>
            <a:noFill/>
          </a:ln>
        </c:spPr>
        <c:txPr>
          <a:bodyPr/>
          <a:lstStyle/>
          <a:p>
            <a:pPr>
              <a:defRPr sz="900" b="0">
                <a:solidFill>
                  <a:srgbClr val="44546A"/>
                </a:solidFill>
                <a:latin typeface="Arial"/>
                <a:cs typeface="Arial"/>
              </a:defRPr>
            </a:pPr>
            <a:endParaRPr lang="en-US"/>
          </a:p>
        </c:txPr>
        <c:crossAx val="111111"/>
        <c:crosses val="max"/>
        <c:crossBetween val="between"/>
      </c:valAx>
      <c:spPr>
        <a:noFill/>
        <a:ln>
          <a:noFill/>
        </a:ln>
      </c:spPr>
    </c:plotArea>
    <c:plotVisOnly val="1"/>
    <c:dispBlanksAs val="gap"/>
    <c:showDLblsOverMax val="1"/>
  </c:chart>
  <c:spPr>
    <a:noFill/>
    <a:ln>
      <a:noFill/>
    </a:ln>
  </c:spPr>
  <c:txPr>
    <a:bodyPr/>
    <a:lstStyle/>
    <a:p>
      <a:pPr>
        <a:defRPr sz="900" b="0">
          <a:solidFill>
            <a:srgbClr val="44546A"/>
          </a:solidFill>
          <a:latin typeface="Arial"/>
          <a:cs typeface="Aria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pivotSource>
    <c:name>[Tours_Travels_Dataset_300_Rows (1).xlsx]Pivot Data!PT_Bookings_PackageType</c:name>
    <c:fmtId val="1"/>
  </c:pivotSource>
  <c:chart>
    <c:autoTitleDeleted val="1"/>
    <c:pivotFmts>
      <c:pivotFmt>
        <c:idx val="0"/>
        <c:spPr>
          <a:solidFill>
            <a:srgbClr val="1E90FF"/>
          </a:solidFill>
          <a:ln>
            <a:noFill/>
          </a:ln>
        </c:spPr>
        <c:marker>
          <c:symbol val="none"/>
        </c:marker>
      </c:pivotFmt>
      <c:pivotFmt>
        <c:idx val="1"/>
        <c:marker>
          <c:symbol val="none"/>
        </c:marker>
      </c:pivotFmt>
    </c:pivotFmts>
    <c:plotArea>
      <c:layout/>
      <c:barChart>
        <c:barDir val="col"/>
        <c:grouping val="clustered"/>
        <c:varyColors val="0"/>
        <c:ser>
          <c:idx val="0"/>
          <c:order val="0"/>
          <c:tx>
            <c:strRef>
              <c:f>'Pivot Data'!$E$3</c:f>
              <c:strCache>
                <c:ptCount val="1"/>
                <c:pt idx="0">
                  <c:v>Total</c:v>
                </c:pt>
              </c:strCache>
            </c:strRef>
          </c:tx>
          <c:invertIfNegative val="0"/>
          <c:cat>
            <c:strRef>
              <c:f>'Pivot Data'!$D$4:$D$9</c:f>
              <c:strCache>
                <c:ptCount val="5"/>
                <c:pt idx="0">
                  <c:v>Family</c:v>
                </c:pt>
                <c:pt idx="1">
                  <c:v>Adventure</c:v>
                </c:pt>
                <c:pt idx="2">
                  <c:v>Honeymoon</c:v>
                </c:pt>
                <c:pt idx="3">
                  <c:v>Luxury</c:v>
                </c:pt>
                <c:pt idx="4">
                  <c:v>Group</c:v>
                </c:pt>
              </c:strCache>
            </c:strRef>
          </c:cat>
          <c:val>
            <c:numRef>
              <c:f>'Pivot Data'!$E$4:$E$9</c:f>
              <c:numCache>
                <c:formatCode>General</c:formatCode>
                <c:ptCount val="5"/>
                <c:pt idx="0">
                  <c:v>56</c:v>
                </c:pt>
                <c:pt idx="1">
                  <c:v>48</c:v>
                </c:pt>
                <c:pt idx="2">
                  <c:v>45</c:v>
                </c:pt>
                <c:pt idx="3">
                  <c:v>35</c:v>
                </c:pt>
                <c:pt idx="4">
                  <c:v>7</c:v>
                </c:pt>
              </c:numCache>
            </c:numRef>
          </c:val>
          <c:extLst>
            <c:ext xmlns:c16="http://schemas.microsoft.com/office/drawing/2014/chart" uri="{C3380CC4-5D6E-409C-BE32-E72D297353CC}">
              <c16:uniqueId val="{00000000-85F6-445B-8F82-BCF64BA010EE}"/>
            </c:ext>
          </c:extLst>
        </c:ser>
        <c:dLbls>
          <c:showLegendKey val="0"/>
          <c:showVal val="0"/>
          <c:showCatName val="0"/>
          <c:showSerName val="0"/>
          <c:showPercent val="0"/>
          <c:showBubbleSize val="0"/>
        </c:dLbls>
        <c:gapWidth val="45"/>
        <c:axId val="111111"/>
        <c:axId val="222222"/>
      </c:barChart>
      <c:catAx>
        <c:axId val="111111"/>
        <c:scaling>
          <c:orientation val="minMax"/>
        </c:scaling>
        <c:delete val="0"/>
        <c:axPos val="b"/>
        <c:numFmt formatCode="General" sourceLinked="0"/>
        <c:majorTickMark val="none"/>
        <c:minorTickMark val="none"/>
        <c:tickLblPos val="nextTo"/>
        <c:spPr>
          <a:noFill/>
          <a:ln w="9525">
            <a:solidFill>
              <a:srgbClr val="C9D4E6"/>
            </a:solidFill>
          </a:ln>
        </c:spPr>
        <c:txPr>
          <a:bodyPr/>
          <a:lstStyle/>
          <a:p>
            <a:pPr>
              <a:defRPr sz="900" b="0">
                <a:solidFill>
                  <a:srgbClr val="0B1F4D"/>
                </a:solidFill>
                <a:latin typeface="Arial"/>
                <a:cs typeface="Arial"/>
              </a:defRPr>
            </a:pPr>
            <a:endParaRPr lang="en-US"/>
          </a:p>
        </c:txPr>
        <c:crossAx val="222222"/>
        <c:crosses val="autoZero"/>
        <c:auto val="1"/>
        <c:lblAlgn val="ctr"/>
        <c:lblOffset val="100"/>
        <c:noMultiLvlLbl val="0"/>
      </c:catAx>
      <c:valAx>
        <c:axId val="222222"/>
        <c:scaling>
          <c:orientation val="minMax"/>
          <c:min val="0"/>
        </c:scaling>
        <c:delete val="0"/>
        <c:axPos val="l"/>
        <c:majorGridlines>
          <c:spPr>
            <a:ln w="6350">
              <a:solidFill>
                <a:srgbClr val="E3EAF5"/>
              </a:solidFill>
              <a:prstDash val="dash"/>
            </a:ln>
          </c:spPr>
        </c:majorGridlines>
        <c:numFmt formatCode="#,##0" sourceLinked="0"/>
        <c:majorTickMark val="none"/>
        <c:minorTickMark val="none"/>
        <c:tickLblPos val="nextTo"/>
        <c:spPr>
          <a:noFill/>
          <a:ln>
            <a:noFill/>
          </a:ln>
        </c:spPr>
        <c:txPr>
          <a:bodyPr/>
          <a:lstStyle/>
          <a:p>
            <a:pPr>
              <a:defRPr sz="900" b="0">
                <a:solidFill>
                  <a:srgbClr val="44546A"/>
                </a:solidFill>
                <a:latin typeface="Arial"/>
                <a:cs typeface="Arial"/>
              </a:defRPr>
            </a:pPr>
            <a:endParaRPr lang="en-US"/>
          </a:p>
        </c:txPr>
        <c:crossAx val="111111"/>
        <c:crosses val="autoZero"/>
        <c:crossBetween val="between"/>
      </c:valAx>
      <c:spPr>
        <a:noFill/>
        <a:ln>
          <a:noFill/>
        </a:ln>
      </c:spPr>
    </c:plotArea>
    <c:plotVisOnly val="1"/>
    <c:dispBlanksAs val="gap"/>
    <c:showDLblsOverMax val="1"/>
  </c:chart>
  <c:spPr>
    <a:noFill/>
    <a:ln>
      <a:noFill/>
    </a:ln>
  </c:spPr>
  <c:txPr>
    <a:bodyPr/>
    <a:lstStyle/>
    <a:p>
      <a:pPr>
        <a:defRPr sz="900" b="0">
          <a:solidFill>
            <a:srgbClr val="44546A"/>
          </a:solidFill>
          <a:latin typeface="Arial"/>
          <a:cs typeface="Arial"/>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pivotSource>
    <c:name>[Tours_Travels_Dataset_300_Rows (1).xlsx]Pivot Data!PT_Booking_Status</c:name>
    <c:fmtId val="1"/>
  </c:pivotSource>
  <c:chart>
    <c:autoTitleDeleted val="1"/>
    <c:pivotFmts>
      <c:pivotFmt>
        <c:idx val="0"/>
        <c:spPr>
          <a:solidFill>
            <a:srgbClr val="0B3CC1"/>
          </a:solidFill>
          <a:ln w="19050">
            <a:solidFill>
              <a:srgbClr val="FFFFFF"/>
            </a:solidFill>
          </a:ln>
        </c:spPr>
      </c:pivotFmt>
      <c:pivotFmt>
        <c:idx val="1"/>
        <c:spPr>
          <a:solidFill>
            <a:srgbClr val="1E90FF"/>
          </a:solidFill>
          <a:ln w="19050">
            <a:solidFill>
              <a:srgbClr val="FFFFFF"/>
            </a:solidFill>
          </a:ln>
        </c:spPr>
      </c:pivotFmt>
      <c:pivotFmt>
        <c:idx val="2"/>
        <c:marker>
          <c:symbol val="none"/>
        </c:marker>
        <c:dLbl>
          <c:idx val="0"/>
          <c:layout/>
          <c:numFmt formatCode="0%" sourceLinked="0"/>
          <c:spPr>
            <a:noFill/>
            <a:ln>
              <a:noFill/>
            </a:ln>
          </c:spPr>
          <c:txPr>
            <a:bodyPr/>
            <a:lstStyle/>
            <a:p>
              <a:pPr>
                <a:defRPr sz="1000" b="1">
                  <a:solidFill>
                    <a:srgbClr val="FFFFFF"/>
                  </a:solidFill>
                  <a:latin typeface="Arial"/>
                  <a:cs typeface="Arial"/>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
        <c:marker>
          <c:symbol val="none"/>
        </c:marker>
      </c:pivotFmt>
    </c:pivotFmts>
    <c:plotArea>
      <c:layout>
        <c:manualLayout>
          <c:layoutTarget val="inner"/>
          <c:xMode val="edge"/>
          <c:yMode val="edge"/>
          <c:x val="0.05"/>
          <c:y val="0.03"/>
          <c:w val="0.5"/>
          <c:h val="0.94"/>
        </c:manualLayout>
      </c:layout>
      <c:doughnutChart>
        <c:varyColors val="1"/>
        <c:ser>
          <c:idx val="0"/>
          <c:order val="0"/>
          <c:tx>
            <c:strRef>
              <c:f>'Pivot Data'!$H$3</c:f>
              <c:strCache>
                <c:ptCount val="1"/>
                <c:pt idx="0">
                  <c:v>Total</c:v>
                </c:pt>
              </c:strCache>
            </c:strRef>
          </c:tx>
          <c:dPt>
            <c:idx val="0"/>
            <c:bubble3D val="0"/>
            <c:extLst>
              <c:ext xmlns:c16="http://schemas.microsoft.com/office/drawing/2014/chart" uri="{C3380CC4-5D6E-409C-BE32-E72D297353CC}">
                <c16:uniqueId val="{00000001-ACAB-4A79-AD41-EAC48BBABF7F}"/>
              </c:ext>
            </c:extLst>
          </c:dPt>
          <c:dPt>
            <c:idx val="1"/>
            <c:bubble3D val="0"/>
            <c:extLst>
              <c:ext xmlns:c16="http://schemas.microsoft.com/office/drawing/2014/chart" uri="{C3380CC4-5D6E-409C-BE32-E72D297353CC}">
                <c16:uniqueId val="{00000003-ACAB-4A79-AD41-EAC48BBABF7F}"/>
              </c:ext>
            </c:extLst>
          </c:dPt>
          <c:cat>
            <c:strRef>
              <c:f>'Pivot Data'!$G$4:$G$6</c:f>
              <c:strCache>
                <c:ptCount val="2"/>
                <c:pt idx="0">
                  <c:v>Confirmed</c:v>
                </c:pt>
                <c:pt idx="1">
                  <c:v>Cancelled</c:v>
                </c:pt>
              </c:strCache>
            </c:strRef>
          </c:cat>
          <c:val>
            <c:numRef>
              <c:f>'Pivot Data'!$H$4:$H$6</c:f>
              <c:numCache>
                <c:formatCode>General</c:formatCode>
                <c:ptCount val="2"/>
                <c:pt idx="0">
                  <c:v>153</c:v>
                </c:pt>
                <c:pt idx="1">
                  <c:v>38</c:v>
                </c:pt>
              </c:numCache>
            </c:numRef>
          </c:val>
          <c:extLst>
            <c:ext xmlns:c16="http://schemas.microsoft.com/office/drawing/2014/chart" uri="{C3380CC4-5D6E-409C-BE32-E72D297353CC}">
              <c16:uniqueId val="{00000004-ACAB-4A79-AD41-EAC48BBABF7F}"/>
            </c:ext>
          </c:extLst>
        </c:ser>
        <c:dLbls>
          <c:showLegendKey val="0"/>
          <c:showVal val="0"/>
          <c:showCatName val="0"/>
          <c:showSerName val="0"/>
          <c:showPercent val="0"/>
          <c:showBubbleSize val="0"/>
          <c:showLeaderLines val="1"/>
        </c:dLbls>
        <c:firstSliceAng val="0"/>
        <c:holeSize val="62"/>
      </c:doughnutChart>
      <c:spPr>
        <a:noFill/>
        <a:ln>
          <a:noFill/>
        </a:ln>
      </c:spPr>
    </c:plotArea>
    <c:legend>
      <c:legendPos val="r"/>
      <c:layout>
        <c:manualLayout>
          <c:xMode val="edge"/>
          <c:yMode val="edge"/>
          <c:x val="0.66"/>
          <c:y val="0.28000000000000003"/>
          <c:w val="0.32"/>
          <c:h val="0.44"/>
        </c:manualLayout>
      </c:layout>
      <c:overlay val="0"/>
      <c:txPr>
        <a:bodyPr/>
        <a:lstStyle/>
        <a:p>
          <a:pPr>
            <a:defRPr sz="1000" b="0">
              <a:solidFill>
                <a:srgbClr val="0B1F4D"/>
              </a:solidFill>
              <a:latin typeface="Arial"/>
              <a:cs typeface="Arial"/>
            </a:defRPr>
          </a:pPr>
          <a:endParaRPr lang="en-US"/>
        </a:p>
      </c:txPr>
    </c:legend>
    <c:plotVisOnly val="1"/>
    <c:dispBlanksAs val="gap"/>
    <c:showDLblsOverMax val="1"/>
  </c:chart>
  <c:spPr>
    <a:noFill/>
    <a:ln>
      <a:noFill/>
    </a:ln>
  </c:spPr>
  <c:txPr>
    <a:bodyPr/>
    <a:lstStyle/>
    <a:p>
      <a:pPr>
        <a:defRPr sz="900" b="0">
          <a:solidFill>
            <a:srgbClr val="44546A"/>
          </a:solidFill>
          <a:latin typeface="Arial"/>
          <a:cs typeface="Arial"/>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pivotSource>
    <c:name>[Tours_Travels_Dataset_300_Rows (1).xlsx]Pivot Data!PT_Monthly</c:name>
    <c:fmtId val="1"/>
  </c:pivotSource>
  <c:chart>
    <c:autoTitleDeleted val="1"/>
    <c:pivotFmts>
      <c:pivotFmt>
        <c:idx val="0"/>
        <c:spPr>
          <a:solidFill>
            <a:srgbClr val="1E90FF"/>
          </a:solidFill>
          <a:ln>
            <a:noFill/>
          </a:ln>
        </c:spPr>
        <c:marker>
          <c:symbol val="none"/>
        </c:marker>
      </c:pivotFmt>
      <c:pivotFmt>
        <c:idx val="1"/>
        <c:spPr>
          <a:ln w="28575" cap="rnd">
            <a:solidFill>
              <a:srgbClr val="FF8C2B"/>
            </a:solidFill>
            <a:round/>
          </a:ln>
        </c:spPr>
        <c:marker>
          <c:symbol val="circle"/>
          <c:size val="7"/>
          <c:spPr>
            <a:solidFill>
              <a:srgbClr val="FF8C2B"/>
            </a:solidFill>
            <a:ln w="12700">
              <a:solidFill>
                <a:srgbClr val="FFFFFF"/>
              </a:solidFill>
            </a:ln>
          </c:spPr>
        </c:marker>
      </c:pivotFmt>
      <c:pivotFmt>
        <c:idx val="2"/>
        <c:marker>
          <c:symbol val="none"/>
        </c:marker>
      </c:pivotFmt>
    </c:pivotFmts>
    <c:plotArea>
      <c:layout/>
      <c:barChart>
        <c:barDir val="col"/>
        <c:grouping val="clustered"/>
        <c:varyColors val="0"/>
        <c:ser>
          <c:idx val="0"/>
          <c:order val="0"/>
          <c:tx>
            <c:strRef>
              <c:f>'Pivot Data'!$K$3:$K$4</c:f>
              <c:strCache>
                <c:ptCount val="1"/>
                <c:pt idx="0">
                  <c:v>Sum of Revenue</c:v>
                </c:pt>
              </c:strCache>
            </c:strRef>
          </c:tx>
          <c:invertIfNegative val="0"/>
          <c:cat>
            <c:strRef>
              <c:f>'Pivot Data'!$J$5:$J$13</c:f>
              <c:strCache>
                <c:ptCount val="8"/>
                <c:pt idx="0">
                  <c:v>Jan</c:v>
                </c:pt>
                <c:pt idx="1">
                  <c:v>Feb</c:v>
                </c:pt>
                <c:pt idx="2">
                  <c:v>Mar</c:v>
                </c:pt>
                <c:pt idx="3">
                  <c:v>Apr</c:v>
                </c:pt>
                <c:pt idx="4">
                  <c:v>May</c:v>
                </c:pt>
                <c:pt idx="5">
                  <c:v>Jun</c:v>
                </c:pt>
                <c:pt idx="6">
                  <c:v>Jul</c:v>
                </c:pt>
                <c:pt idx="7">
                  <c:v>Aug</c:v>
                </c:pt>
              </c:strCache>
            </c:strRef>
          </c:cat>
          <c:val>
            <c:numRef>
              <c:f>'Pivot Data'!$K$5:$K$13</c:f>
              <c:numCache>
                <c:formatCode>\₹\ #,##0</c:formatCode>
                <c:ptCount val="8"/>
                <c:pt idx="0">
                  <c:v>698800</c:v>
                </c:pt>
                <c:pt idx="1">
                  <c:v>595800</c:v>
                </c:pt>
                <c:pt idx="2">
                  <c:v>1189900</c:v>
                </c:pt>
                <c:pt idx="3">
                  <c:v>815200</c:v>
                </c:pt>
                <c:pt idx="4">
                  <c:v>567500</c:v>
                </c:pt>
                <c:pt idx="5">
                  <c:v>627300</c:v>
                </c:pt>
                <c:pt idx="6">
                  <c:v>710000</c:v>
                </c:pt>
                <c:pt idx="7">
                  <c:v>1027800</c:v>
                </c:pt>
              </c:numCache>
            </c:numRef>
          </c:val>
          <c:extLst>
            <c:ext xmlns:c16="http://schemas.microsoft.com/office/drawing/2014/chart" uri="{C3380CC4-5D6E-409C-BE32-E72D297353CC}">
              <c16:uniqueId val="{00000000-2D38-4DD7-844F-7978A63C86E1}"/>
            </c:ext>
          </c:extLst>
        </c:ser>
        <c:dLbls>
          <c:showLegendKey val="0"/>
          <c:showVal val="0"/>
          <c:showCatName val="0"/>
          <c:showSerName val="0"/>
          <c:showPercent val="0"/>
          <c:showBubbleSize val="0"/>
        </c:dLbls>
        <c:gapWidth val="55"/>
        <c:axId val="111111"/>
        <c:axId val="222222"/>
      </c:barChart>
      <c:lineChart>
        <c:grouping val="standard"/>
        <c:varyColors val="0"/>
        <c:ser>
          <c:idx val="1"/>
          <c:order val="1"/>
          <c:tx>
            <c:strRef>
              <c:f>'Pivot Data'!$L$3:$L$4</c:f>
              <c:strCache>
                <c:ptCount val="1"/>
                <c:pt idx="0">
                  <c:v>Count of Booking ID</c:v>
                </c:pt>
              </c:strCache>
            </c:strRef>
          </c:tx>
          <c:cat>
            <c:strRef>
              <c:f>'Pivot Data'!$J$5:$J$13</c:f>
              <c:strCache>
                <c:ptCount val="8"/>
                <c:pt idx="0">
                  <c:v>Jan</c:v>
                </c:pt>
                <c:pt idx="1">
                  <c:v>Feb</c:v>
                </c:pt>
                <c:pt idx="2">
                  <c:v>Mar</c:v>
                </c:pt>
                <c:pt idx="3">
                  <c:v>Apr</c:v>
                </c:pt>
                <c:pt idx="4">
                  <c:v>May</c:v>
                </c:pt>
                <c:pt idx="5">
                  <c:v>Jun</c:v>
                </c:pt>
                <c:pt idx="6">
                  <c:v>Jul</c:v>
                </c:pt>
                <c:pt idx="7">
                  <c:v>Aug</c:v>
                </c:pt>
              </c:strCache>
            </c:strRef>
          </c:cat>
          <c:val>
            <c:numRef>
              <c:f>'Pivot Data'!$L$5:$L$13</c:f>
              <c:numCache>
                <c:formatCode>General</c:formatCode>
                <c:ptCount val="8"/>
                <c:pt idx="0">
                  <c:v>23</c:v>
                </c:pt>
                <c:pt idx="1">
                  <c:v>22</c:v>
                </c:pt>
                <c:pt idx="2">
                  <c:v>33</c:v>
                </c:pt>
                <c:pt idx="3">
                  <c:v>23</c:v>
                </c:pt>
                <c:pt idx="4">
                  <c:v>19</c:v>
                </c:pt>
                <c:pt idx="5">
                  <c:v>23</c:v>
                </c:pt>
                <c:pt idx="6">
                  <c:v>20</c:v>
                </c:pt>
                <c:pt idx="7">
                  <c:v>28</c:v>
                </c:pt>
              </c:numCache>
            </c:numRef>
          </c:val>
          <c:smooth val="0"/>
          <c:extLst>
            <c:ext xmlns:c16="http://schemas.microsoft.com/office/drawing/2014/chart" uri="{C3380CC4-5D6E-409C-BE32-E72D297353CC}">
              <c16:uniqueId val="{00000001-2D38-4DD7-844F-7978A63C86E1}"/>
            </c:ext>
          </c:extLst>
        </c:ser>
        <c:dLbls>
          <c:showLegendKey val="0"/>
          <c:showVal val="0"/>
          <c:showCatName val="0"/>
          <c:showSerName val="0"/>
          <c:showPercent val="0"/>
          <c:showBubbleSize val="0"/>
        </c:dLbls>
        <c:marker val="1"/>
        <c:smooth val="0"/>
        <c:axId val="333333"/>
        <c:axId val="444444"/>
      </c:lineChart>
      <c:catAx>
        <c:axId val="111111"/>
        <c:scaling>
          <c:orientation val="minMax"/>
        </c:scaling>
        <c:delete val="0"/>
        <c:axPos val="b"/>
        <c:numFmt formatCode="General" sourceLinked="0"/>
        <c:majorTickMark val="none"/>
        <c:minorTickMark val="none"/>
        <c:tickLblPos val="nextTo"/>
        <c:spPr>
          <a:noFill/>
          <a:ln w="9525">
            <a:solidFill>
              <a:srgbClr val="C9D4E6"/>
            </a:solidFill>
          </a:ln>
        </c:spPr>
        <c:txPr>
          <a:bodyPr/>
          <a:lstStyle/>
          <a:p>
            <a:pPr>
              <a:defRPr sz="900" b="0">
                <a:solidFill>
                  <a:srgbClr val="0B1F4D"/>
                </a:solidFill>
                <a:latin typeface="Arial"/>
                <a:cs typeface="Arial"/>
              </a:defRPr>
            </a:pPr>
            <a:endParaRPr lang="en-US"/>
          </a:p>
        </c:txPr>
        <c:crossAx val="222222"/>
        <c:crosses val="autoZero"/>
        <c:auto val="1"/>
        <c:lblAlgn val="ctr"/>
        <c:lblOffset val="100"/>
        <c:noMultiLvlLbl val="0"/>
      </c:catAx>
      <c:valAx>
        <c:axId val="222222"/>
        <c:scaling>
          <c:orientation val="minMax"/>
          <c:min val="0"/>
        </c:scaling>
        <c:delete val="0"/>
        <c:axPos val="l"/>
        <c:majorGridlines>
          <c:spPr>
            <a:ln w="6350">
              <a:solidFill>
                <a:srgbClr val="E3EAF5"/>
              </a:solidFill>
              <a:prstDash val="dash"/>
            </a:ln>
          </c:spPr>
        </c:majorGridlines>
        <c:numFmt formatCode="[&gt;=1000000]0.0,,&quot;M&quot;;[&gt;=1000]0,&quot;K&quot;;0" sourceLinked="0"/>
        <c:majorTickMark val="none"/>
        <c:minorTickMark val="none"/>
        <c:tickLblPos val="nextTo"/>
        <c:spPr>
          <a:noFill/>
          <a:ln>
            <a:noFill/>
          </a:ln>
        </c:spPr>
        <c:txPr>
          <a:bodyPr/>
          <a:lstStyle/>
          <a:p>
            <a:pPr>
              <a:defRPr sz="900" b="0">
                <a:solidFill>
                  <a:srgbClr val="44546A"/>
                </a:solidFill>
                <a:latin typeface="Arial"/>
                <a:cs typeface="Arial"/>
              </a:defRPr>
            </a:pPr>
            <a:endParaRPr lang="en-US"/>
          </a:p>
        </c:txPr>
        <c:crossAx val="111111"/>
        <c:crosses val="autoZero"/>
        <c:crossBetween val="between"/>
      </c:valAx>
      <c:valAx>
        <c:axId val="444444"/>
        <c:scaling>
          <c:orientation val="minMax"/>
          <c:min val="0"/>
        </c:scaling>
        <c:delete val="0"/>
        <c:axPos val="r"/>
        <c:numFmt formatCode="0" sourceLinked="0"/>
        <c:majorTickMark val="none"/>
        <c:minorTickMark val="none"/>
        <c:tickLblPos val="nextTo"/>
        <c:spPr>
          <a:noFill/>
          <a:ln>
            <a:noFill/>
          </a:ln>
        </c:spPr>
        <c:txPr>
          <a:bodyPr/>
          <a:lstStyle/>
          <a:p>
            <a:pPr>
              <a:defRPr sz="900" b="0">
                <a:solidFill>
                  <a:srgbClr val="44546A"/>
                </a:solidFill>
                <a:latin typeface="Arial"/>
                <a:cs typeface="Arial"/>
              </a:defRPr>
            </a:pPr>
            <a:endParaRPr lang="en-US"/>
          </a:p>
        </c:txPr>
        <c:crossAx val="333333"/>
        <c:crosses val="max"/>
        <c:crossBetween val="between"/>
      </c:valAx>
      <c:catAx>
        <c:axId val="333333"/>
        <c:scaling>
          <c:orientation val="minMax"/>
        </c:scaling>
        <c:delete val="1"/>
        <c:axPos val="b"/>
        <c:numFmt formatCode="General" sourceLinked="1"/>
        <c:majorTickMark val="none"/>
        <c:minorTickMark val="none"/>
        <c:tickLblPos val="nextTo"/>
        <c:crossAx val="444444"/>
        <c:crosses val="autoZero"/>
        <c:auto val="1"/>
        <c:lblAlgn val="ctr"/>
        <c:lblOffset val="100"/>
        <c:noMultiLvlLbl val="0"/>
      </c:catAx>
      <c:spPr>
        <a:noFill/>
        <a:ln>
          <a:noFill/>
        </a:ln>
      </c:spPr>
    </c:plotArea>
    <c:legend>
      <c:legendPos val="b"/>
      <c:layout/>
      <c:overlay val="0"/>
      <c:txPr>
        <a:bodyPr/>
        <a:lstStyle/>
        <a:p>
          <a:pPr>
            <a:defRPr sz="1000" b="0">
              <a:solidFill>
                <a:srgbClr val="0B1F4D"/>
              </a:solidFill>
              <a:latin typeface="Arial"/>
              <a:cs typeface="Arial"/>
            </a:defRPr>
          </a:pPr>
          <a:endParaRPr lang="en-US"/>
        </a:p>
      </c:txPr>
    </c:legend>
    <c:plotVisOnly val="1"/>
    <c:dispBlanksAs val="gap"/>
    <c:showDLblsOverMax val="1"/>
  </c:chart>
  <c:spPr>
    <a:noFill/>
    <a:ln>
      <a:noFill/>
    </a:ln>
  </c:spPr>
  <c:txPr>
    <a:bodyPr/>
    <a:lstStyle/>
    <a:p>
      <a:pPr>
        <a:defRPr sz="900" b="0">
          <a:solidFill>
            <a:srgbClr val="44546A"/>
          </a:solidFill>
          <a:latin typeface="Arial"/>
          <a:cs typeface="Arial"/>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pivotSource>
    <c:name>[Tours_Travels_Dataset_300_Rows (1).xlsx]Pivot Data!PT_Payment_Method</c:name>
    <c:fmtId val="1"/>
  </c:pivotSource>
  <c:chart>
    <c:autoTitleDeleted val="1"/>
    <c:pivotFmts>
      <c:pivotFmt>
        <c:idx val="0"/>
        <c:spPr>
          <a:solidFill>
            <a:srgbClr val="1E90FF"/>
          </a:solidFill>
          <a:ln w="19050">
            <a:solidFill>
              <a:srgbClr val="FFFFFF"/>
            </a:solidFill>
          </a:ln>
        </c:spPr>
      </c:pivotFmt>
      <c:pivotFmt>
        <c:idx val="1"/>
        <c:spPr>
          <a:solidFill>
            <a:srgbClr val="FF8C2B"/>
          </a:solidFill>
          <a:ln w="19050">
            <a:solidFill>
              <a:srgbClr val="FFFFFF"/>
            </a:solidFill>
          </a:ln>
        </c:spPr>
      </c:pivotFmt>
      <c:pivotFmt>
        <c:idx val="2"/>
        <c:spPr>
          <a:solidFill>
            <a:srgbClr val="E91E8C"/>
          </a:solidFill>
          <a:ln w="19050">
            <a:solidFill>
              <a:srgbClr val="FFFFFF"/>
            </a:solidFill>
          </a:ln>
        </c:spPr>
      </c:pivotFmt>
      <c:pivotFmt>
        <c:idx val="3"/>
        <c:spPr>
          <a:solidFill>
            <a:srgbClr val="3B0F8C"/>
          </a:solidFill>
          <a:ln w="19050">
            <a:solidFill>
              <a:srgbClr val="FFFFFF"/>
            </a:solidFill>
          </a:ln>
        </c:spPr>
      </c:pivotFmt>
      <c:pivotFmt>
        <c:idx val="4"/>
        <c:marker>
          <c:symbol val="none"/>
        </c:marker>
        <c:dLbl>
          <c:idx val="0"/>
          <c:layout/>
          <c:numFmt formatCode="0%" sourceLinked="0"/>
          <c:spPr>
            <a:noFill/>
            <a:ln>
              <a:noFill/>
            </a:ln>
          </c:spPr>
          <c:txPr>
            <a:bodyPr/>
            <a:lstStyle/>
            <a:p>
              <a:pPr>
                <a:defRPr sz="1000" b="1">
                  <a:solidFill>
                    <a:srgbClr val="FFFFFF"/>
                  </a:solidFill>
                  <a:latin typeface="Arial"/>
                  <a:cs typeface="Arial"/>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05"/>
          <c:y val="0.03"/>
          <c:w val="0.5"/>
          <c:h val="0.94"/>
        </c:manualLayout>
      </c:layout>
      <c:doughnutChart>
        <c:varyColors val="1"/>
        <c:ser>
          <c:idx val="0"/>
          <c:order val="0"/>
          <c:tx>
            <c:strRef>
              <c:f>'Pivot Data'!$O$3</c:f>
              <c:strCache>
                <c:ptCount val="1"/>
                <c:pt idx="0">
                  <c:v>Total</c:v>
                </c:pt>
              </c:strCache>
            </c:strRef>
          </c:tx>
          <c:dPt>
            <c:idx val="0"/>
            <c:bubble3D val="0"/>
            <c:spPr>
              <a:solidFill>
                <a:srgbClr val="1E90FF"/>
              </a:solidFill>
              <a:ln w="19050">
                <a:solidFill>
                  <a:srgbClr val="FFFFFF"/>
                </a:solidFill>
              </a:ln>
            </c:spPr>
            <c:extLst>
              <c:ext xmlns:c16="http://schemas.microsoft.com/office/drawing/2014/chart" uri="{C3380CC4-5D6E-409C-BE32-E72D297353CC}">
                <c16:uniqueId val="{00000001-2687-4D6D-B2B5-EA9BA1E57E62}"/>
              </c:ext>
            </c:extLst>
          </c:dPt>
          <c:dPt>
            <c:idx val="1"/>
            <c:bubble3D val="0"/>
            <c:spPr>
              <a:solidFill>
                <a:srgbClr val="E91E8C"/>
              </a:solidFill>
              <a:ln w="19050">
                <a:solidFill>
                  <a:srgbClr val="FFFFFF"/>
                </a:solidFill>
              </a:ln>
            </c:spPr>
            <c:extLst>
              <c:ext xmlns:c16="http://schemas.microsoft.com/office/drawing/2014/chart" uri="{C3380CC4-5D6E-409C-BE32-E72D297353CC}">
                <c16:uniqueId val="{00000003-2687-4D6D-B2B5-EA9BA1E57E62}"/>
              </c:ext>
            </c:extLst>
          </c:dPt>
          <c:dPt>
            <c:idx val="2"/>
            <c:bubble3D val="0"/>
            <c:spPr>
              <a:solidFill>
                <a:srgbClr val="FF8C2B"/>
              </a:solidFill>
              <a:ln w="19050">
                <a:solidFill>
                  <a:srgbClr val="FFFFFF"/>
                </a:solidFill>
              </a:ln>
            </c:spPr>
            <c:extLst>
              <c:ext xmlns:c16="http://schemas.microsoft.com/office/drawing/2014/chart" uri="{C3380CC4-5D6E-409C-BE32-E72D297353CC}">
                <c16:uniqueId val="{00000005-2687-4D6D-B2B5-EA9BA1E57E62}"/>
              </c:ext>
            </c:extLst>
          </c:dPt>
          <c:dPt>
            <c:idx val="3"/>
            <c:bubble3D val="0"/>
            <c:spPr>
              <a:solidFill>
                <a:srgbClr val="3B0F8C"/>
              </a:solidFill>
              <a:ln w="19050">
                <a:solidFill>
                  <a:srgbClr val="FFFFFF"/>
                </a:solidFill>
              </a:ln>
            </c:spPr>
            <c:extLst>
              <c:ext xmlns:c16="http://schemas.microsoft.com/office/drawing/2014/chart" uri="{C3380CC4-5D6E-409C-BE32-E72D297353CC}">
                <c16:uniqueId val="{00000007-2687-4D6D-B2B5-EA9BA1E57E62}"/>
              </c:ext>
            </c:extLst>
          </c:dPt>
          <c:dLbls>
            <c:numFmt formatCode="0%" sourceLinked="0"/>
            <c:spPr>
              <a:noFill/>
              <a:ln>
                <a:noFill/>
              </a:ln>
            </c:spPr>
            <c:txPr>
              <a:bodyPr/>
              <a:lstStyle/>
              <a:p>
                <a:pPr>
                  <a:defRPr sz="1000" b="1">
                    <a:solidFill>
                      <a:srgbClr val="FFFFFF"/>
                    </a:solidFill>
                    <a:latin typeface="Arial"/>
                    <a:cs typeface="Aria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15:layout/>
              </c:ext>
            </c:extLst>
          </c:dLbls>
          <c:cat>
            <c:strRef>
              <c:f>'Pivot Data'!$N$4:$N$8</c:f>
              <c:strCache>
                <c:ptCount val="4"/>
                <c:pt idx="0">
                  <c:v>Cash</c:v>
                </c:pt>
                <c:pt idx="1">
                  <c:v>UPI</c:v>
                </c:pt>
                <c:pt idx="2">
                  <c:v>Net Banking</c:v>
                </c:pt>
                <c:pt idx="3">
                  <c:v>Credit Card</c:v>
                </c:pt>
              </c:strCache>
            </c:strRef>
          </c:cat>
          <c:val>
            <c:numRef>
              <c:f>'Pivot Data'!$O$4:$O$8</c:f>
              <c:numCache>
                <c:formatCode>General</c:formatCode>
                <c:ptCount val="4"/>
                <c:pt idx="0">
                  <c:v>58</c:v>
                </c:pt>
                <c:pt idx="1">
                  <c:v>46</c:v>
                </c:pt>
                <c:pt idx="2">
                  <c:v>45</c:v>
                </c:pt>
                <c:pt idx="3">
                  <c:v>42</c:v>
                </c:pt>
              </c:numCache>
            </c:numRef>
          </c:val>
          <c:extLst>
            <c:ext xmlns:c16="http://schemas.microsoft.com/office/drawing/2014/chart" uri="{C3380CC4-5D6E-409C-BE32-E72D297353CC}">
              <c16:uniqueId val="{00000008-2687-4D6D-B2B5-EA9BA1E57E62}"/>
            </c:ext>
          </c:extLst>
        </c:ser>
        <c:dLbls>
          <c:showLegendKey val="0"/>
          <c:showVal val="0"/>
          <c:showCatName val="0"/>
          <c:showSerName val="0"/>
          <c:showPercent val="0"/>
          <c:showBubbleSize val="0"/>
          <c:showLeaderLines val="1"/>
        </c:dLbls>
        <c:firstSliceAng val="0"/>
        <c:holeSize val="62"/>
      </c:doughnutChart>
      <c:spPr>
        <a:noFill/>
        <a:ln>
          <a:noFill/>
        </a:ln>
      </c:spPr>
    </c:plotArea>
    <c:legend>
      <c:legendPos val="r"/>
      <c:layout>
        <c:manualLayout>
          <c:xMode val="edge"/>
          <c:yMode val="edge"/>
          <c:x val="0.66"/>
          <c:y val="0.28000000000000003"/>
          <c:w val="0.32"/>
          <c:h val="0.44"/>
        </c:manualLayout>
      </c:layout>
      <c:overlay val="0"/>
      <c:txPr>
        <a:bodyPr/>
        <a:lstStyle/>
        <a:p>
          <a:pPr>
            <a:defRPr sz="1000" b="0">
              <a:solidFill>
                <a:srgbClr val="0B1F4D"/>
              </a:solidFill>
              <a:latin typeface="Arial"/>
              <a:cs typeface="Arial"/>
            </a:defRPr>
          </a:pPr>
          <a:endParaRPr lang="en-US"/>
        </a:p>
      </c:txPr>
    </c:legend>
    <c:plotVisOnly val="1"/>
    <c:dispBlanksAs val="gap"/>
    <c:showDLblsOverMax val="1"/>
  </c:chart>
  <c:spPr>
    <a:noFill/>
    <a:ln>
      <a:noFill/>
    </a:ln>
  </c:spPr>
  <c:txPr>
    <a:bodyPr/>
    <a:lstStyle/>
    <a:p>
      <a:pPr>
        <a:defRPr sz="900" b="0">
          <a:solidFill>
            <a:srgbClr val="44546A"/>
          </a:solidFill>
          <a:latin typeface="Arial"/>
          <a:cs typeface="Arial"/>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pivotSource>
    <c:name>[Tours_Travels_Dataset_300_Rows (1).xlsx]Pivot Data!PT_Salesperson</c:name>
    <c:fmtId val="1"/>
  </c:pivotSource>
  <c:chart>
    <c:autoTitleDeleted val="1"/>
    <c:pivotFmts>
      <c:pivotFmt>
        <c:idx val="0"/>
        <c:spPr>
          <a:solidFill>
            <a:srgbClr val="1E90FF"/>
          </a:solidFill>
          <a:ln>
            <a:noFill/>
          </a:ln>
        </c:spPr>
        <c:marker>
          <c:symbol val="none"/>
        </c:marker>
      </c:pivotFmt>
    </c:pivotFmts>
    <c:plotArea>
      <c:layout/>
      <c:barChart>
        <c:barDir val="bar"/>
        <c:grouping val="clustered"/>
        <c:varyColors val="0"/>
        <c:ser>
          <c:idx val="0"/>
          <c:order val="0"/>
          <c:tx>
            <c:strRef>
              <c:f>'Pivot Data'!$R$3</c:f>
              <c:strCache>
                <c:ptCount val="1"/>
                <c:pt idx="0">
                  <c:v>Total</c:v>
                </c:pt>
              </c:strCache>
            </c:strRef>
          </c:tx>
          <c:spPr>
            <a:solidFill>
              <a:srgbClr val="1E90FF"/>
            </a:solidFill>
            <a:ln>
              <a:noFill/>
            </a:ln>
          </c:spPr>
          <c:invertIfNegative val="0"/>
          <c:cat>
            <c:strRef>
              <c:f>'Pivot Data'!$Q$4:$Q$10</c:f>
              <c:strCache>
                <c:ptCount val="6"/>
                <c:pt idx="0">
                  <c:v>Pooja Mehta</c:v>
                </c:pt>
                <c:pt idx="1">
                  <c:v>Neha Verma</c:v>
                </c:pt>
                <c:pt idx="2">
                  <c:v>Amit Singh</c:v>
                </c:pt>
                <c:pt idx="3">
                  <c:v>Sanjay Patel</c:v>
                </c:pt>
                <c:pt idx="4">
                  <c:v>Priya Shah</c:v>
                </c:pt>
                <c:pt idx="5">
                  <c:v>Rahul Sharma</c:v>
                </c:pt>
              </c:strCache>
            </c:strRef>
          </c:cat>
          <c:val>
            <c:numRef>
              <c:f>'Pivot Data'!$R$4:$R$10</c:f>
              <c:numCache>
                <c:formatCode>\₹\ #,##0</c:formatCode>
                <c:ptCount val="6"/>
                <c:pt idx="0">
                  <c:v>1451400</c:v>
                </c:pt>
                <c:pt idx="1">
                  <c:v>1166700</c:v>
                </c:pt>
                <c:pt idx="2">
                  <c:v>1056500</c:v>
                </c:pt>
                <c:pt idx="3">
                  <c:v>1001900</c:v>
                </c:pt>
                <c:pt idx="4">
                  <c:v>891200</c:v>
                </c:pt>
                <c:pt idx="5">
                  <c:v>664600</c:v>
                </c:pt>
              </c:numCache>
            </c:numRef>
          </c:val>
          <c:extLst>
            <c:ext xmlns:c16="http://schemas.microsoft.com/office/drawing/2014/chart" uri="{C3380CC4-5D6E-409C-BE32-E72D297353CC}">
              <c16:uniqueId val="{00000000-07CF-485C-825B-6EC324C337A7}"/>
            </c:ext>
          </c:extLst>
        </c:ser>
        <c:dLbls>
          <c:showLegendKey val="0"/>
          <c:showVal val="0"/>
          <c:showCatName val="0"/>
          <c:showSerName val="0"/>
          <c:showPercent val="0"/>
          <c:showBubbleSize val="0"/>
        </c:dLbls>
        <c:gapWidth val="55"/>
        <c:axId val="111111"/>
        <c:axId val="222222"/>
      </c:barChart>
      <c:catAx>
        <c:axId val="111111"/>
        <c:scaling>
          <c:orientation val="maxMin"/>
        </c:scaling>
        <c:delete val="0"/>
        <c:axPos val="l"/>
        <c:numFmt formatCode="General" sourceLinked="0"/>
        <c:majorTickMark val="none"/>
        <c:minorTickMark val="none"/>
        <c:tickLblPos val="nextTo"/>
        <c:spPr>
          <a:noFill/>
          <a:ln w="9525">
            <a:solidFill>
              <a:srgbClr val="C9D4E6"/>
            </a:solidFill>
          </a:ln>
        </c:spPr>
        <c:txPr>
          <a:bodyPr/>
          <a:lstStyle/>
          <a:p>
            <a:pPr>
              <a:defRPr sz="900" b="0">
                <a:solidFill>
                  <a:srgbClr val="0B1F4D"/>
                </a:solidFill>
                <a:latin typeface="Arial"/>
                <a:cs typeface="Arial"/>
              </a:defRPr>
            </a:pPr>
            <a:endParaRPr lang="en-US"/>
          </a:p>
        </c:txPr>
        <c:crossAx val="222222"/>
        <c:crosses val="autoZero"/>
        <c:auto val="1"/>
        <c:lblAlgn val="ctr"/>
        <c:lblOffset val="100"/>
        <c:noMultiLvlLbl val="0"/>
      </c:catAx>
      <c:valAx>
        <c:axId val="222222"/>
        <c:scaling>
          <c:orientation val="minMax"/>
          <c:min val="0"/>
        </c:scaling>
        <c:delete val="0"/>
        <c:axPos val="b"/>
        <c:majorGridlines>
          <c:spPr>
            <a:ln w="6350">
              <a:solidFill>
                <a:srgbClr val="E3EAF5"/>
              </a:solidFill>
              <a:prstDash val="dash"/>
            </a:ln>
          </c:spPr>
        </c:majorGridlines>
        <c:numFmt formatCode="[&gt;=1000000]0.0,,&quot;M&quot;;[&gt;=1000]0,&quot;K&quot;;0" sourceLinked="0"/>
        <c:majorTickMark val="none"/>
        <c:minorTickMark val="none"/>
        <c:tickLblPos val="nextTo"/>
        <c:spPr>
          <a:noFill/>
          <a:ln>
            <a:noFill/>
          </a:ln>
        </c:spPr>
        <c:txPr>
          <a:bodyPr/>
          <a:lstStyle/>
          <a:p>
            <a:pPr>
              <a:defRPr sz="900" b="0">
                <a:solidFill>
                  <a:srgbClr val="44546A"/>
                </a:solidFill>
                <a:latin typeface="Arial"/>
                <a:cs typeface="Arial"/>
              </a:defRPr>
            </a:pPr>
            <a:endParaRPr lang="en-US"/>
          </a:p>
        </c:txPr>
        <c:crossAx val="111111"/>
        <c:crosses val="max"/>
        <c:crossBetween val="between"/>
      </c:valAx>
      <c:spPr>
        <a:noFill/>
        <a:ln>
          <a:noFill/>
        </a:ln>
      </c:spPr>
    </c:plotArea>
    <c:plotVisOnly val="1"/>
    <c:dispBlanksAs val="gap"/>
    <c:showDLblsOverMax val="1"/>
  </c:chart>
  <c:spPr>
    <a:noFill/>
    <a:ln>
      <a:noFill/>
    </a:ln>
  </c:spPr>
  <c:txPr>
    <a:bodyPr/>
    <a:lstStyle/>
    <a:p>
      <a:pPr>
        <a:defRPr sz="900" b="0">
          <a:solidFill>
            <a:srgbClr val="44546A"/>
          </a:solidFill>
          <a:latin typeface="Arial"/>
          <a:cs typeface="Arial"/>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[Tours_Travels_Dataset_300_Rows (1).xlsx]pivot table 4!PivotTable4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Monthly Revenue Trend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chemeClr val="accent6"/>
            </a:solidFill>
            <a:round/>
          </a:ln>
          <a:effectLst/>
        </c:spPr>
      </c:pivotFmt>
      <c:pivotFmt>
        <c:idx val="4"/>
        <c:spPr>
          <a:solidFill>
            <a:schemeClr val="accent1"/>
          </a:solidFill>
          <a:ln w="25400" cap="rnd">
            <a:solidFill>
              <a:schemeClr val="accent6"/>
            </a:solidFill>
            <a:round/>
          </a:ln>
          <a:effectLst/>
        </c:spPr>
        <c:marker>
          <c:symbol val="none"/>
        </c:marker>
      </c:pivotFmt>
      <c:pivotFmt>
        <c:idx val="5"/>
        <c:spPr>
          <a:solidFill>
            <a:schemeClr val="accent1"/>
          </a:solidFill>
          <a:ln>
            <a:noFill/>
          </a:ln>
          <a:effectLst/>
        </c:spPr>
      </c:pivotFmt>
      <c:pivotFmt>
        <c:idx val="6"/>
        <c:spPr>
          <a:solidFill>
            <a:schemeClr val="accent1"/>
          </a:solidFill>
          <a:ln>
            <a:noFill/>
          </a:ln>
          <a:effectLst/>
        </c:spPr>
        <c:marker>
          <c:symbol val="none"/>
        </c:marker>
      </c:pivotFmt>
      <c:pivotFmt>
        <c:idx val="7"/>
        <c:spPr>
          <a:solidFill>
            <a:schemeClr val="accent1"/>
          </a:solidFill>
          <a:ln w="25400"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w="25400"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w="25400"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ln w="25400" cap="rnd">
            <a:solidFill>
              <a:schemeClr val="accent6"/>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 4'!$B$3</c:f>
              <c:strCache>
                <c:ptCount val="1"/>
                <c:pt idx="0">
                  <c:v>Sum of Booking Amount</c:v>
                </c:pt>
              </c:strCache>
            </c:strRef>
          </c:tx>
          <c:spPr>
            <a:solidFill>
              <a:schemeClr val="accent1"/>
            </a:solidFill>
            <a:ln>
              <a:noFill/>
            </a:ln>
            <a:effectLst/>
          </c:spPr>
          <c:invertIfNegative val="0"/>
          <c:dLbls>
            <c:delete val="1"/>
          </c:dLbls>
          <c:cat>
            <c:multiLvlStrRef>
              <c:f>'pivot table 4'!$A$4:$A$17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'pivot table 4'!$B$4:$B$17</c:f>
              <c:numCache>
                <c:formatCode>\₹\ #,##0</c:formatCode>
                <c:ptCount val="12"/>
                <c:pt idx="0">
                  <c:v>698800</c:v>
                </c:pt>
                <c:pt idx="1">
                  <c:v>595800</c:v>
                </c:pt>
                <c:pt idx="2">
                  <c:v>1189900</c:v>
                </c:pt>
                <c:pt idx="3">
                  <c:v>815200</c:v>
                </c:pt>
                <c:pt idx="4">
                  <c:v>567500</c:v>
                </c:pt>
                <c:pt idx="5">
                  <c:v>627300</c:v>
                </c:pt>
                <c:pt idx="6">
                  <c:v>710000</c:v>
                </c:pt>
                <c:pt idx="7">
                  <c:v>1027800</c:v>
                </c:pt>
                <c:pt idx="8">
                  <c:v>1085600</c:v>
                </c:pt>
                <c:pt idx="9">
                  <c:v>721100</c:v>
                </c:pt>
                <c:pt idx="10">
                  <c:v>868500</c:v>
                </c:pt>
                <c:pt idx="11">
                  <c:v>783200</c:v>
                </c:pt>
              </c:numCache>
            </c:numRef>
          </c:val>
          <c:extLst>
            <c:ext xmlns:c16="http://schemas.microsoft.com/office/drawing/2014/chart" uri="{C3380CC4-5D6E-409C-BE32-E72D297353CC}">
              <c16:uniqueId val="{00000000-18B8-4AB7-939E-9829CE6E5B77}"/>
            </c:ext>
          </c:extLst>
        </c:ser>
        <c:dLbls>
          <c:dLblPos val="inEnd"/>
          <c:showLegendKey val="0"/>
          <c:showVal val="1"/>
          <c:showCatName val="0"/>
          <c:showSerName val="0"/>
          <c:showPercent val="0"/>
          <c:showBubbleSize val="0"/>
        </c:dLbls>
        <c:gapWidth val="219"/>
        <c:axId val="1931006575"/>
        <c:axId val="1931007823"/>
      </c:barChart>
      <c:lineChart>
        <c:grouping val="standard"/>
        <c:varyColors val="0"/>
        <c:ser>
          <c:idx val="1"/>
          <c:order val="1"/>
          <c:tx>
            <c:strRef>
              <c:f>'pivot table 4'!$C$3</c:f>
              <c:strCache>
                <c:ptCount val="1"/>
                <c:pt idx="0">
                  <c:v>Count of Booking ID</c:v>
                </c:pt>
              </c:strCache>
            </c:strRef>
          </c:tx>
          <c:spPr>
            <a:ln w="25400"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'pivot table 4'!$A$4:$A$17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'pivot table 4'!$C$4:$C$17</c:f>
              <c:numCache>
                <c:formatCode>General</c:formatCode>
                <c:ptCount val="12"/>
                <c:pt idx="0">
                  <c:v>23</c:v>
                </c:pt>
                <c:pt idx="1">
                  <c:v>22</c:v>
                </c:pt>
                <c:pt idx="2">
                  <c:v>33</c:v>
                </c:pt>
                <c:pt idx="3">
                  <c:v>23</c:v>
                </c:pt>
                <c:pt idx="4">
                  <c:v>19</c:v>
                </c:pt>
                <c:pt idx="5">
                  <c:v>23</c:v>
                </c:pt>
                <c:pt idx="6">
                  <c:v>20</c:v>
                </c:pt>
                <c:pt idx="7">
                  <c:v>28</c:v>
                </c:pt>
                <c:pt idx="8">
                  <c:v>34</c:v>
                </c:pt>
                <c:pt idx="9">
                  <c:v>25</c:v>
                </c:pt>
                <c:pt idx="10">
                  <c:v>28</c:v>
                </c:pt>
                <c:pt idx="11">
                  <c:v>22</c:v>
                </c:pt>
              </c:numCache>
            </c:numRef>
          </c:val>
          <c:smooth val="0"/>
          <c:extLst>
            <c:ext xmlns:c16="http://schemas.microsoft.com/office/drawing/2014/chart" uri="{C3380CC4-5D6E-409C-BE32-E72D297353CC}">
              <c16:uniqueId val="{00000001-18B8-4AB7-939E-9829CE6E5B77}"/>
            </c:ext>
          </c:extLst>
        </c:ser>
        <c:dLbls>
          <c:showLegendKey val="0"/>
          <c:showVal val="0"/>
          <c:showCatName val="0"/>
          <c:showSerName val="0"/>
          <c:showPercent val="0"/>
          <c:showBubbleSize val="0"/>
        </c:dLbls>
        <c:marker val="1"/>
        <c:smooth val="0"/>
        <c:axId val="1787665951"/>
        <c:axId val="1874084095"/>
      </c:lineChart>
      <c:catAx>
        <c:axId val="193100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007823"/>
        <c:crosses val="autoZero"/>
        <c:auto val="1"/>
        <c:lblAlgn val="ctr"/>
        <c:lblOffset val="100"/>
        <c:noMultiLvlLbl val="0"/>
      </c:catAx>
      <c:valAx>
        <c:axId val="1931007823"/>
        <c:scaling>
          <c:orientation val="minMax"/>
        </c:scaling>
        <c:delete val="0"/>
        <c:axPos val="l"/>
        <c:majorGridlines>
          <c:spPr>
            <a:ln w="9525" cap="flat" cmpd="sng" algn="ctr">
              <a:solidFill>
                <a:schemeClr val="tx1">
                  <a:lumMod val="15000"/>
                  <a:lumOff val="85000"/>
                </a:schemeClr>
              </a:solidFill>
              <a:round/>
            </a:ln>
            <a:effectLst/>
          </c:spPr>
        </c:majorGridlines>
        <c:numFmt formatCode="\₹\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006575"/>
        <c:crosses val="autoZero"/>
        <c:crossBetween val="between"/>
      </c:valAx>
      <c:valAx>
        <c:axId val="18740840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665951"/>
        <c:crosses val="max"/>
        <c:crossBetween val="between"/>
      </c:valAx>
      <c:catAx>
        <c:axId val="1787665951"/>
        <c:scaling>
          <c:orientation val="minMax"/>
        </c:scaling>
        <c:delete val="1"/>
        <c:axPos val="b"/>
        <c:numFmt formatCode="General" sourceLinked="1"/>
        <c:majorTickMark val="out"/>
        <c:minorTickMark val="none"/>
        <c:tickLblPos val="nextTo"/>
        <c:crossAx val="1874084095"/>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[Tours_Travels_Dataset_300_Rows (1).xlsx]pivot table 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2">
                    <a:lumMod val="50000"/>
                  </a:schemeClr>
                </a:solidFill>
              </a:rPr>
              <a:t>Booking Status</a:t>
            </a:r>
            <a:endParaRPr lang="en-US" b="1">
              <a:solidFill>
                <a:schemeClr val="tx2">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layout>
            <c:manualLayout>
              <c:x val="-8.6111111111111138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accent6"/>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6"/>
          </a:solidFill>
          <a:ln w="19050">
            <a:solidFill>
              <a:schemeClr val="accent6"/>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accent1"/>
          </a:solidFill>
          <a:ln w="19050">
            <a:solidFill>
              <a:schemeClr val="lt1"/>
            </a:solidFill>
          </a:ln>
          <a:effectLst/>
        </c:spPr>
      </c:pivotFmt>
      <c:pivotFmt>
        <c:idx val="9"/>
        <c:spPr>
          <a:solidFill>
            <a:schemeClr val="accent6"/>
          </a:solidFill>
          <a:ln w="19050">
            <a:solidFill>
              <a:schemeClr val="accent6"/>
            </a:solid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'pivot table 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BF-47DE-8B27-1110EAD7DDE4}"/>
              </c:ext>
            </c:extLst>
          </c:dPt>
          <c:dPt>
            <c:idx val="1"/>
            <c:bubble3D val="0"/>
            <c:spPr>
              <a:solidFill>
                <a:schemeClr val="accent6"/>
              </a:solidFill>
              <a:ln w="19050">
                <a:solidFill>
                  <a:schemeClr val="accent6"/>
                </a:solidFill>
              </a:ln>
              <a:effectLst/>
            </c:spPr>
            <c:extLst>
              <c:ext xmlns:c16="http://schemas.microsoft.com/office/drawing/2014/chart" uri="{C3380CC4-5D6E-409C-BE32-E72D297353CC}">
                <c16:uniqueId val="{00000003-B7BF-47DE-8B27-1110EAD7DDE4}"/>
              </c:ext>
            </c:extLst>
          </c:dPt>
          <c:dLbls>
            <c:dLbl>
              <c:idx val="1"/>
              <c:layout/>
              <c:dLblPos val="bestFi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B7BF-47DE-8B27-1110EAD7DD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 3'!$A$4:$A$6</c:f>
              <c:strCache>
                <c:ptCount val="2"/>
                <c:pt idx="0">
                  <c:v>Cancelled</c:v>
                </c:pt>
                <c:pt idx="1">
                  <c:v>Confirmed</c:v>
                </c:pt>
              </c:strCache>
            </c:strRef>
          </c:cat>
          <c:val>
            <c:numRef>
              <c:f>'pivot table 3'!$B$4:$B$6</c:f>
              <c:numCache>
                <c:formatCode>General</c:formatCode>
                <c:ptCount val="2"/>
                <c:pt idx="0">
                  <c:v>61</c:v>
                </c:pt>
                <c:pt idx="1">
                  <c:v>239</c:v>
                </c:pt>
              </c:numCache>
            </c:numRef>
          </c:val>
          <c:extLst>
            <c:ext xmlns:c16="http://schemas.microsoft.com/office/drawing/2014/chart" uri="{C3380CC4-5D6E-409C-BE32-E72D297353CC}">
              <c16:uniqueId val="{00000004-B7BF-47DE-8B27-1110EAD7DDE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[Tours_Travels_Dataset_300_Rows (1).xlsx]pivot table 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2">
                    <a:lumMod val="50000"/>
                  </a:schemeClr>
                </a:solidFill>
              </a:rPr>
              <a:t>Top 5 Destinations by Revenue</a:t>
            </a:r>
            <a:endParaRPr lang="en-US" b="1">
              <a:solidFill>
                <a:schemeClr val="tx2">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 1'!$B$3</c:f>
              <c:strCache>
                <c:ptCount val="1"/>
                <c:pt idx="0">
                  <c:v>Total</c:v>
                </c:pt>
              </c:strCache>
            </c:strRef>
          </c:tx>
          <c:spPr>
            <a:solidFill>
              <a:schemeClr val="accent1"/>
            </a:solidFill>
            <a:ln>
              <a:noFill/>
            </a:ln>
            <a:effectLst/>
          </c:spPr>
          <c:invertIfNegative val="0"/>
          <c:cat>
            <c:strRef>
              <c:f>'pivot table 1'!$A$4:$A$14</c:f>
              <c:strCache>
                <c:ptCount val="10"/>
                <c:pt idx="0">
                  <c:v>Singapore</c:v>
                </c:pt>
                <c:pt idx="1">
                  <c:v>Dubai</c:v>
                </c:pt>
                <c:pt idx="2">
                  <c:v>Kashmir</c:v>
                </c:pt>
                <c:pt idx="3">
                  <c:v>Rajasthan</c:v>
                </c:pt>
                <c:pt idx="4">
                  <c:v>Thailand</c:v>
                </c:pt>
                <c:pt idx="5">
                  <c:v>Bali</c:v>
                </c:pt>
                <c:pt idx="6">
                  <c:v>Goa</c:v>
                </c:pt>
                <c:pt idx="7">
                  <c:v>Manali</c:v>
                </c:pt>
                <c:pt idx="8">
                  <c:v>Andaman</c:v>
                </c:pt>
                <c:pt idx="9">
                  <c:v>Kerala</c:v>
                </c:pt>
              </c:strCache>
            </c:strRef>
          </c:cat>
          <c:val>
            <c:numRef>
              <c:f>'pivot table 1'!$B$4:$B$14</c:f>
              <c:numCache>
                <c:formatCode>\₹\ #,##0</c:formatCode>
                <c:ptCount val="10"/>
                <c:pt idx="0">
                  <c:v>1526100</c:v>
                </c:pt>
                <c:pt idx="1">
                  <c:v>1361200</c:v>
                </c:pt>
                <c:pt idx="2">
                  <c:v>1153900</c:v>
                </c:pt>
                <c:pt idx="3">
                  <c:v>1017200</c:v>
                </c:pt>
                <c:pt idx="4">
                  <c:v>995800</c:v>
                </c:pt>
                <c:pt idx="5">
                  <c:v>923300</c:v>
                </c:pt>
                <c:pt idx="6">
                  <c:v>815100</c:v>
                </c:pt>
                <c:pt idx="7">
                  <c:v>752100</c:v>
                </c:pt>
                <c:pt idx="8">
                  <c:v>651300</c:v>
                </c:pt>
                <c:pt idx="9">
                  <c:v>494700</c:v>
                </c:pt>
              </c:numCache>
            </c:numRef>
          </c:val>
          <c:extLst>
            <c:ext xmlns:c16="http://schemas.microsoft.com/office/drawing/2014/chart" uri="{C3380CC4-5D6E-409C-BE32-E72D297353CC}">
              <c16:uniqueId val="{00000000-6250-410A-A8E8-705A8B48C82C}"/>
            </c:ext>
          </c:extLst>
        </c:ser>
        <c:dLbls>
          <c:showLegendKey val="0"/>
          <c:showVal val="0"/>
          <c:showCatName val="0"/>
          <c:showSerName val="0"/>
          <c:showPercent val="0"/>
          <c:showBubbleSize val="0"/>
        </c:dLbls>
        <c:gapWidth val="219"/>
        <c:overlap val="-27"/>
        <c:axId val="1993302127"/>
        <c:axId val="1993302959"/>
      </c:barChart>
      <c:catAx>
        <c:axId val="199330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302959"/>
        <c:crosses val="autoZero"/>
        <c:auto val="1"/>
        <c:lblAlgn val="ctr"/>
        <c:lblOffset val="100"/>
        <c:noMultiLvlLbl val="0"/>
      </c:catAx>
      <c:valAx>
        <c:axId val="1993302959"/>
        <c:scaling>
          <c:orientation val="minMax"/>
        </c:scaling>
        <c:delete val="0"/>
        <c:axPos val="l"/>
        <c:majorGridlines>
          <c:spPr>
            <a:ln w="9525" cap="flat" cmpd="sng" algn="ctr">
              <a:solidFill>
                <a:schemeClr val="tx1">
                  <a:lumMod val="15000"/>
                  <a:lumOff val="85000"/>
                </a:schemeClr>
              </a:solidFill>
              <a:round/>
            </a:ln>
            <a:effectLst/>
          </c:spPr>
        </c:majorGridlines>
        <c:numFmt formatCode="\₹\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3021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[Tours_Travels_Dataset_300_Rows (1).xlsx]pivot table 1!PivotTable1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2">
                    <a:lumMod val="50000"/>
                  </a:schemeClr>
                </a:solidFill>
              </a:rPr>
              <a:t>Revenue by Destination</a:t>
            </a:r>
            <a:endParaRPr lang="en-US" b="1">
              <a:solidFill>
                <a:schemeClr val="tx2">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 1'!$B$3</c:f>
              <c:strCache>
                <c:ptCount val="1"/>
                <c:pt idx="0">
                  <c:v>Total</c:v>
                </c:pt>
              </c:strCache>
            </c:strRef>
          </c:tx>
          <c:spPr>
            <a:solidFill>
              <a:schemeClr val="accent1"/>
            </a:solidFill>
            <a:ln>
              <a:noFill/>
            </a:ln>
            <a:effectLst/>
          </c:spPr>
          <c:invertIfNegative val="0"/>
          <c:cat>
            <c:strRef>
              <c:f>'pivot table 1'!$A$4:$A$14</c:f>
              <c:strCache>
                <c:ptCount val="10"/>
                <c:pt idx="0">
                  <c:v>Singapore</c:v>
                </c:pt>
                <c:pt idx="1">
                  <c:v>Dubai</c:v>
                </c:pt>
                <c:pt idx="2">
                  <c:v>Kashmir</c:v>
                </c:pt>
                <c:pt idx="3">
                  <c:v>Rajasthan</c:v>
                </c:pt>
                <c:pt idx="4">
                  <c:v>Thailand</c:v>
                </c:pt>
                <c:pt idx="5">
                  <c:v>Bali</c:v>
                </c:pt>
                <c:pt idx="6">
                  <c:v>Goa</c:v>
                </c:pt>
                <c:pt idx="7">
                  <c:v>Manali</c:v>
                </c:pt>
                <c:pt idx="8">
                  <c:v>Andaman</c:v>
                </c:pt>
                <c:pt idx="9">
                  <c:v>Kerala</c:v>
                </c:pt>
              </c:strCache>
            </c:strRef>
          </c:cat>
          <c:val>
            <c:numRef>
              <c:f>'pivot table 1'!$B$4:$B$14</c:f>
              <c:numCache>
                <c:formatCode>\₹\ #,##0</c:formatCode>
                <c:ptCount val="10"/>
                <c:pt idx="0">
                  <c:v>1526100</c:v>
                </c:pt>
                <c:pt idx="1">
                  <c:v>1361200</c:v>
                </c:pt>
                <c:pt idx="2">
                  <c:v>1153900</c:v>
                </c:pt>
                <c:pt idx="3">
                  <c:v>1017200</c:v>
                </c:pt>
                <c:pt idx="4">
                  <c:v>995800</c:v>
                </c:pt>
                <c:pt idx="5">
                  <c:v>923300</c:v>
                </c:pt>
                <c:pt idx="6">
                  <c:v>815100</c:v>
                </c:pt>
                <c:pt idx="7">
                  <c:v>752100</c:v>
                </c:pt>
                <c:pt idx="8">
                  <c:v>651300</c:v>
                </c:pt>
                <c:pt idx="9">
                  <c:v>494700</c:v>
                </c:pt>
              </c:numCache>
            </c:numRef>
          </c:val>
          <c:extLst>
            <c:ext xmlns:c16="http://schemas.microsoft.com/office/drawing/2014/chart" uri="{C3380CC4-5D6E-409C-BE32-E72D297353CC}">
              <c16:uniqueId val="{00000000-BB1C-45C5-AC60-ED8667940C5B}"/>
            </c:ext>
          </c:extLst>
        </c:ser>
        <c:dLbls>
          <c:showLegendKey val="0"/>
          <c:showVal val="0"/>
          <c:showCatName val="0"/>
          <c:showSerName val="0"/>
          <c:showPercent val="0"/>
          <c:showBubbleSize val="0"/>
        </c:dLbls>
        <c:gapWidth val="182"/>
        <c:axId val="1989799823"/>
        <c:axId val="1989807311"/>
      </c:barChart>
      <c:catAx>
        <c:axId val="1989799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807311"/>
        <c:crosses val="autoZero"/>
        <c:auto val="1"/>
        <c:lblAlgn val="ctr"/>
        <c:lblOffset val="100"/>
        <c:noMultiLvlLbl val="0"/>
      </c:catAx>
      <c:valAx>
        <c:axId val="1989807311"/>
        <c:scaling>
          <c:orientation val="minMax"/>
        </c:scaling>
        <c:delete val="0"/>
        <c:axPos val="b"/>
        <c:majorGridlines>
          <c:spPr>
            <a:ln w="9525" cap="flat" cmpd="sng" algn="ctr">
              <a:solidFill>
                <a:schemeClr val="tx1">
                  <a:lumMod val="15000"/>
                  <a:lumOff val="85000"/>
                </a:schemeClr>
              </a:solidFill>
              <a:round/>
            </a:ln>
            <a:effectLst/>
          </c:spPr>
        </c:majorGridlines>
        <c:numFmt formatCode="\₹\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7998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[Tours_Travels_Dataset_300_Rows (1).xlsx]pivot table 2!PivotTable2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2">
                    <a:lumMod val="50000"/>
                  </a:schemeClr>
                </a:solidFill>
              </a:rPr>
              <a:t>Package Type Analysis</a:t>
            </a:r>
            <a:endParaRPr lang="en-US" b="1">
              <a:solidFill>
                <a:schemeClr val="tx2">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'pivot table 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71-4697-BFA9-053045A2E2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71-4697-BFA9-053045A2E2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71-4697-BFA9-053045A2E2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A71-4697-BFA9-053045A2E25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A71-4697-BFA9-053045A2E257}"/>
              </c:ext>
            </c:extLst>
          </c:dPt>
          <c:dLbls>
            <c:dLbl>
              <c:idx val="1"/>
              <c:layout/>
              <c:showLegendKey val="0"/>
              <c:showVal val="1"/>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CA71-4697-BFA9-053045A2E2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 2'!$A$4:$A$9</c:f>
              <c:strCache>
                <c:ptCount val="5"/>
                <c:pt idx="0">
                  <c:v>Adventure</c:v>
                </c:pt>
                <c:pt idx="1">
                  <c:v>Family</c:v>
                </c:pt>
                <c:pt idx="2">
                  <c:v>Group</c:v>
                </c:pt>
                <c:pt idx="3">
                  <c:v>Honeymoon</c:v>
                </c:pt>
                <c:pt idx="4">
                  <c:v>Luxury</c:v>
                </c:pt>
              </c:strCache>
            </c:strRef>
          </c:cat>
          <c:val>
            <c:numRef>
              <c:f>'pivot table 2'!$B$4:$B$9</c:f>
              <c:numCache>
                <c:formatCode>General</c:formatCode>
                <c:ptCount val="5"/>
                <c:pt idx="0">
                  <c:v>79</c:v>
                </c:pt>
                <c:pt idx="1">
                  <c:v>79</c:v>
                </c:pt>
                <c:pt idx="2">
                  <c:v>15</c:v>
                </c:pt>
                <c:pt idx="3">
                  <c:v>70</c:v>
                </c:pt>
                <c:pt idx="4">
                  <c:v>57</c:v>
                </c:pt>
              </c:numCache>
            </c:numRef>
          </c:val>
          <c:extLst>
            <c:ext xmlns:c16="http://schemas.microsoft.com/office/drawing/2014/chart" uri="{C3380CC4-5D6E-409C-BE32-E72D297353CC}">
              <c16:uniqueId val="{0000000A-CA71-4697-BFA9-053045A2E25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[Tours_Travels_Dataset_300_Rows (1).xlsx]pivot table 5!PivotTable5</c:name>
    <c:fmtId val="3"/>
  </c:pivotSource>
  <c:chart>
    <c:title>
      <c:tx>
        <c:rich>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r>
              <a:rPr lang="en-US" sz="1400" b="1" i="0" u="none" strike="noStrike" baseline="0">
                <a:solidFill>
                  <a:schemeClr val="tx2">
                    <a:lumMod val="50000"/>
                  </a:schemeClr>
                </a:solidFill>
              </a:rPr>
              <a:t>Payment Method Analysis</a:t>
            </a:r>
            <a:r>
              <a:rPr lang="en-US" sz="1400" b="1">
                <a:solidFill>
                  <a:schemeClr val="tx2">
                    <a:lumMod val="50000"/>
                  </a:schemeClr>
                </a:solidFill>
              </a:rPr>
              <a:t>l</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1"/>
          </a:solidFill>
          <a:ln w="19050">
            <a:solidFill>
              <a:schemeClr val="lt1"/>
            </a:solid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ser>
          <c:idx val="0"/>
          <c:order val="0"/>
          <c:tx>
            <c:strRef>
              <c:f>'pivot table 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17-4010-BAAE-8B85308B79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17-4010-BAAE-8B85308B79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17-4010-BAAE-8B85308B790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17-4010-BAAE-8B85308B7907}"/>
              </c:ext>
            </c:extLst>
          </c:dPt>
          <c:dLbls>
            <c:dLbl>
              <c:idx val="0"/>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E017-4010-BAAE-8B85308B79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 5'!$A$4:$A$8</c:f>
              <c:strCache>
                <c:ptCount val="4"/>
                <c:pt idx="0">
                  <c:v>Cash</c:v>
                </c:pt>
                <c:pt idx="1">
                  <c:v>Credit Card</c:v>
                </c:pt>
                <c:pt idx="2">
                  <c:v>Net Banking</c:v>
                </c:pt>
                <c:pt idx="3">
                  <c:v>UPI</c:v>
                </c:pt>
              </c:strCache>
            </c:strRef>
          </c:cat>
          <c:val>
            <c:numRef>
              <c:f>'pivot table 5'!$B$4:$B$8</c:f>
              <c:numCache>
                <c:formatCode>General</c:formatCode>
                <c:ptCount val="4"/>
                <c:pt idx="0">
                  <c:v>77</c:v>
                </c:pt>
                <c:pt idx="1">
                  <c:v>73</c:v>
                </c:pt>
                <c:pt idx="2">
                  <c:v>76</c:v>
                </c:pt>
                <c:pt idx="3">
                  <c:v>74</c:v>
                </c:pt>
              </c:numCache>
            </c:numRef>
          </c:val>
          <c:extLst>
            <c:ext xmlns:c16="http://schemas.microsoft.com/office/drawing/2014/chart" uri="{C3380CC4-5D6E-409C-BE32-E72D297353CC}">
              <c16:uniqueId val="{00000008-E017-4010-BAAE-8B85308B790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[Tours_Travels_Dataset_300_Rows (1).xlsx]pivot table 6!PivotTable6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2">
                    <a:lumMod val="50000"/>
                  </a:schemeClr>
                </a:solidFill>
              </a:rPr>
              <a:t>Salesperson Performance</a:t>
            </a:r>
            <a:endParaRPr lang="en-US" b="1">
              <a:solidFill>
                <a:schemeClr val="tx2">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6010469104700112E-2"/>
          <c:y val="0.13425925925925927"/>
          <c:w val="0.86763775674340837"/>
          <c:h val="0.75834135316418783"/>
        </c:manualLayout>
      </c:layout>
      <c:barChart>
        <c:barDir val="bar"/>
        <c:grouping val="clustered"/>
        <c:varyColors val="0"/>
        <c:ser>
          <c:idx val="0"/>
          <c:order val="0"/>
          <c:tx>
            <c:strRef>
              <c:f>'pivot table 6'!$B$3</c:f>
              <c:strCache>
                <c:ptCount val="1"/>
                <c:pt idx="0">
                  <c:v>Count of Booking ID</c:v>
                </c:pt>
              </c:strCache>
            </c:strRef>
          </c:tx>
          <c:spPr>
            <a:solidFill>
              <a:schemeClr val="accent1"/>
            </a:solidFill>
            <a:ln>
              <a:noFill/>
            </a:ln>
            <a:effectLst/>
          </c:spPr>
          <c:invertIfNegative val="0"/>
          <c:cat>
            <c:strRef>
              <c:f>'pivot table 6'!$A$4:$A$10</c:f>
              <c:strCache>
                <c:ptCount val="6"/>
                <c:pt idx="0">
                  <c:v>Amit Singh</c:v>
                </c:pt>
                <c:pt idx="1">
                  <c:v>Neha Verma</c:v>
                </c:pt>
                <c:pt idx="2">
                  <c:v>Pooja Mehta</c:v>
                </c:pt>
                <c:pt idx="3">
                  <c:v>Priya Shah</c:v>
                </c:pt>
                <c:pt idx="4">
                  <c:v>Rahul Sharma</c:v>
                </c:pt>
                <c:pt idx="5">
                  <c:v>Sanjay Patel</c:v>
                </c:pt>
              </c:strCache>
            </c:strRef>
          </c:cat>
          <c:val>
            <c:numRef>
              <c:f>'pivot table 6'!$B$4:$B$10</c:f>
              <c:numCache>
                <c:formatCode>General</c:formatCode>
                <c:ptCount val="6"/>
                <c:pt idx="0">
                  <c:v>52</c:v>
                </c:pt>
                <c:pt idx="1">
                  <c:v>53</c:v>
                </c:pt>
                <c:pt idx="2">
                  <c:v>63</c:v>
                </c:pt>
                <c:pt idx="3">
                  <c:v>49</c:v>
                </c:pt>
                <c:pt idx="4">
                  <c:v>42</c:v>
                </c:pt>
                <c:pt idx="5">
                  <c:v>41</c:v>
                </c:pt>
              </c:numCache>
            </c:numRef>
          </c:val>
          <c:extLst>
            <c:ext xmlns:c16="http://schemas.microsoft.com/office/drawing/2014/chart" uri="{C3380CC4-5D6E-409C-BE32-E72D297353CC}">
              <c16:uniqueId val="{00000000-8C23-4CE4-A26F-E97C0F6C8CBE}"/>
            </c:ext>
          </c:extLst>
        </c:ser>
        <c:ser>
          <c:idx val="1"/>
          <c:order val="1"/>
          <c:tx>
            <c:strRef>
              <c:f>'pivot table 6'!$C$3</c:f>
              <c:strCache>
                <c:ptCount val="1"/>
                <c:pt idx="0">
                  <c:v>Sum of Booking Amount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6'!$A$4:$A$10</c:f>
              <c:strCache>
                <c:ptCount val="6"/>
                <c:pt idx="0">
                  <c:v>Amit Singh</c:v>
                </c:pt>
                <c:pt idx="1">
                  <c:v>Neha Verma</c:v>
                </c:pt>
                <c:pt idx="2">
                  <c:v>Pooja Mehta</c:v>
                </c:pt>
                <c:pt idx="3">
                  <c:v>Priya Shah</c:v>
                </c:pt>
                <c:pt idx="4">
                  <c:v>Rahul Sharma</c:v>
                </c:pt>
                <c:pt idx="5">
                  <c:v>Sanjay Patel</c:v>
                </c:pt>
              </c:strCache>
            </c:strRef>
          </c:cat>
          <c:val>
            <c:numRef>
              <c:f>'pivot table 6'!$C$4:$C$10</c:f>
              <c:numCache>
                <c:formatCode>\₹\ #,##0</c:formatCode>
                <c:ptCount val="6"/>
                <c:pt idx="0">
                  <c:v>1663000</c:v>
                </c:pt>
                <c:pt idx="1">
                  <c:v>1702600</c:v>
                </c:pt>
                <c:pt idx="2">
                  <c:v>2152000</c:v>
                </c:pt>
                <c:pt idx="3">
                  <c:v>1446500</c:v>
                </c:pt>
                <c:pt idx="4">
                  <c:v>1373200</c:v>
                </c:pt>
                <c:pt idx="5">
                  <c:v>1353400</c:v>
                </c:pt>
              </c:numCache>
            </c:numRef>
          </c:val>
          <c:extLst>
            <c:ext xmlns:c16="http://schemas.microsoft.com/office/drawing/2014/chart" uri="{C3380CC4-5D6E-409C-BE32-E72D297353CC}">
              <c16:uniqueId val="{00000001-8C23-4CE4-A26F-E97C0F6C8CBE}"/>
            </c:ext>
          </c:extLst>
        </c:ser>
        <c:dLbls>
          <c:showLegendKey val="0"/>
          <c:showVal val="0"/>
          <c:showCatName val="0"/>
          <c:showSerName val="0"/>
          <c:showPercent val="0"/>
          <c:showBubbleSize val="0"/>
        </c:dLbls>
        <c:gapWidth val="182"/>
        <c:axId val="2063593263"/>
        <c:axId val="2063587023"/>
      </c:barChart>
      <c:catAx>
        <c:axId val="2063593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587023"/>
        <c:crosses val="autoZero"/>
        <c:auto val="1"/>
        <c:lblAlgn val="ctr"/>
        <c:lblOffset val="100"/>
        <c:noMultiLvlLbl val="0"/>
      </c:catAx>
      <c:valAx>
        <c:axId val="2063587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5932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40</xdr:col>
      <xdr:colOff>0</xdr:colOff>
      <xdr:row>0</xdr:row>
      <xdr:rowOff>0</xdr:rowOff>
    </xdr:from>
    <xdr:to>
      <xdr:col>128</xdr:col>
      <xdr:colOff>0</xdr:colOff>
      <xdr:row>2</xdr:row>
      <xdr:rowOff>0</xdr:rowOff>
    </xdr:to>
    <xdr:sp macro="" textlink="">
      <xdr:nvSpPr>
        <xdr:cNvPr id="2" name="Company"/>
        <xdr:cNvSpPr/>
      </xdr:nvSpPr>
      <xdr:spPr>
        <a:xfrm>
          <a:off x="3810000" y="19050"/>
          <a:ext cx="8382000" cy="190500"/>
        </a:xfrm>
        <a:prstGeom prst="rect">
          <a:avLst/>
        </a:prstGeom>
        <a:noFill/>
        <a:ln>
          <a:noFill/>
        </a:ln>
      </xdr:spPr>
      <xdr:txBody>
        <a:bodyPr vertOverflow="clip" horzOverflow="clip" wrap="square" lIns="0" tIns="0" rIns="0" bIns="0" rtlCol="0" anchor="ctr"/>
        <a:lstStyle/>
        <a:p>
          <a:pPr algn="ctr"/>
          <a:r>
            <a:rPr lang="en-US" sz="1000" b="1" spc="300">
              <a:solidFill>
                <a:srgbClr val="1747D6"/>
              </a:solidFill>
              <a:latin typeface="Arial"/>
              <a:ea typeface="Arial"/>
              <a:cs typeface="Arial"/>
            </a:rPr>
            <a:t>ASHOKA TOURS &amp; TRAVELS</a:t>
          </a:r>
        </a:p>
      </xdr:txBody>
    </xdr:sp>
    <xdr:clientData/>
  </xdr:twoCellAnchor>
  <xdr:twoCellAnchor editAs="oneCell">
    <xdr:from>
      <xdr:col>1</xdr:col>
      <xdr:colOff>0</xdr:colOff>
      <xdr:row>2</xdr:row>
      <xdr:rowOff>0</xdr:rowOff>
    </xdr:from>
    <xdr:to>
      <xdr:col>167</xdr:col>
      <xdr:colOff>0</xdr:colOff>
      <xdr:row>6</xdr:row>
      <xdr:rowOff>0</xdr:rowOff>
    </xdr:to>
    <xdr:sp macro="" textlink="">
      <xdr:nvSpPr>
        <xdr:cNvPr id="3" name="Title"/>
        <xdr:cNvSpPr/>
      </xdr:nvSpPr>
      <xdr:spPr>
        <a:xfrm>
          <a:off x="95250" y="209550"/>
          <a:ext cx="15811500" cy="381000"/>
        </a:xfrm>
        <a:prstGeom prst="rect">
          <a:avLst/>
        </a:prstGeom>
        <a:noFill/>
        <a:ln>
          <a:noFill/>
        </a:ln>
      </xdr:spPr>
      <xdr:txBody>
        <a:bodyPr vertOverflow="clip" horzOverflow="clip" wrap="square" lIns="0" tIns="0" rIns="0" bIns="0" rtlCol="0" anchor="ctr"/>
        <a:lstStyle/>
        <a:p>
          <a:pPr algn="ctr"/>
          <a:r>
            <a:rPr lang="en-US" sz="2000" b="1">
              <a:solidFill>
                <a:srgbClr val="1747D6"/>
              </a:solidFill>
              <a:latin typeface="Arial"/>
              <a:ea typeface="Arial"/>
              <a:cs typeface="Arial"/>
            </a:rPr>
            <a:t>TOURS &amp; TRAVELS </a:t>
          </a:r>
          <a:r>
            <a:rPr lang="en-US" sz="2000" b="1">
              <a:solidFill>
                <a:srgbClr val="0B1F4D"/>
              </a:solidFill>
              <a:latin typeface="Arial"/>
              <a:ea typeface="Arial"/>
              <a:cs typeface="Arial"/>
            </a:rPr>
            <a:t>BOOKING &amp; SALES ANALYTICS DASHBOARD</a:t>
          </a:r>
        </a:p>
      </xdr:txBody>
    </xdr:sp>
    <xdr:clientData/>
  </xdr:twoCellAnchor>
  <xdr:twoCellAnchor editAs="oneCell">
    <xdr:from>
      <xdr:col>6</xdr:col>
      <xdr:colOff>0</xdr:colOff>
      <xdr:row>4</xdr:row>
      <xdr:rowOff>0</xdr:rowOff>
    </xdr:from>
    <xdr:to>
      <xdr:col>20</xdr:col>
      <xdr:colOff>0</xdr:colOff>
      <xdr:row>4</xdr:row>
      <xdr:rowOff>0</xdr:rowOff>
    </xdr:to>
    <xdr:sp macro="" textlink="">
      <xdr:nvSpPr>
        <xdr:cNvPr id="4" name="Title line L"/>
        <xdr:cNvSpPr/>
      </xdr:nvSpPr>
      <xdr:spPr>
        <a:xfrm>
          <a:off x="571500" y="419100"/>
          <a:ext cx="1333500" cy="19050"/>
        </a:xfrm>
        <a:prstGeom prst="rect">
          <a:avLst/>
        </a:prstGeom>
        <a:solidFill>
          <a:srgbClr val="A9BEE8"/>
        </a:solidFill>
        <a:ln>
          <a:noFill/>
        </a:ln>
      </xdr:spPr>
      <xdr:txBody>
        <a:bodyPr vertOverflow="clip" horzOverflow="clip" wrap="square" lIns="0" tIns="0" rIns="0" bIns="0" rtlCol="0" anchor="ctr"/>
        <a:lstStyle/>
        <a:p>
          <a:endParaRPr lang="en-US"/>
        </a:p>
      </xdr:txBody>
    </xdr:sp>
    <xdr:clientData/>
  </xdr:twoCellAnchor>
  <xdr:twoCellAnchor editAs="oneCell">
    <xdr:from>
      <xdr:col>148</xdr:col>
      <xdr:colOff>0</xdr:colOff>
      <xdr:row>4</xdr:row>
      <xdr:rowOff>0</xdr:rowOff>
    </xdr:from>
    <xdr:to>
      <xdr:col>162</xdr:col>
      <xdr:colOff>0</xdr:colOff>
      <xdr:row>4</xdr:row>
      <xdr:rowOff>0</xdr:rowOff>
    </xdr:to>
    <xdr:sp macro="" textlink="">
      <xdr:nvSpPr>
        <xdr:cNvPr id="5" name="Title line R"/>
        <xdr:cNvSpPr/>
      </xdr:nvSpPr>
      <xdr:spPr>
        <a:xfrm>
          <a:off x="14097000" y="419100"/>
          <a:ext cx="1333500" cy="19050"/>
        </a:xfrm>
        <a:prstGeom prst="rect">
          <a:avLst/>
        </a:prstGeom>
        <a:solidFill>
          <a:srgbClr val="A9BEE8"/>
        </a:solidFill>
        <a:ln>
          <a:noFill/>
        </a:ln>
      </xdr:spPr>
      <xdr:txBody>
        <a:bodyPr vertOverflow="clip" horzOverflow="clip" wrap="square" lIns="0" tIns="0" rIns="0" bIns="0" rtlCol="0" anchor="ctr"/>
        <a:lstStyle/>
        <a:p>
          <a:endParaRPr lang="en-US"/>
        </a:p>
      </xdr:txBody>
    </xdr:sp>
    <xdr:clientData/>
  </xdr:twoCellAnchor>
  <xdr:twoCellAnchor editAs="oneCell">
    <xdr:from>
      <xdr:col>1</xdr:col>
      <xdr:colOff>0</xdr:colOff>
      <xdr:row>7</xdr:row>
      <xdr:rowOff>0</xdr:rowOff>
    </xdr:from>
    <xdr:to>
      <xdr:col>24</xdr:col>
      <xdr:colOff>0</xdr:colOff>
      <xdr:row>17</xdr:row>
      <xdr:rowOff>0</xdr:rowOff>
    </xdr:to>
    <xdr:sp macro="" textlink="">
      <xdr:nvSpPr>
        <xdr:cNvPr id="6" name="Filter card 1"/>
        <xdr:cNvSpPr/>
      </xdr:nvSpPr>
      <xdr:spPr>
        <a:xfrm>
          <a:off x="95250" y="666750"/>
          <a:ext cx="2190750" cy="952500"/>
        </a:xfrm>
        <a:prstGeom prst="roundRect">
          <a:avLst>
            <a:gd name="adj" fmla="val 6000"/>
          </a:avLst>
        </a:prstGeom>
        <a:solidFill>
          <a:srgbClr val="FFFFFF"/>
        </a:solidFill>
        <a:ln w="9525">
          <a:solidFill>
            <a:srgbClr val="DCE6F5"/>
          </a:solidFill>
        </a:ln>
        <a:effectLst>
          <a:outerShdw blurRad="76200" dist="19050" dir="5400000" algn="t" rotWithShape="0">
            <a:srgbClr val="1F3B73">
              <a:alpha val="13000"/>
            </a:srgbClr>
          </a:outerShdw>
        </a:effectLst>
      </xdr:spPr>
      <xdr:txBody>
        <a:bodyPr vertOverflow="clip" horzOverflow="clip" wrap="square" lIns="0" tIns="0" rIns="0" bIns="0" rtlCol="0" anchor="ctr"/>
        <a:lstStyle/>
        <a:p>
          <a:endParaRPr lang="en-US"/>
        </a:p>
      </xdr:txBody>
    </xdr:sp>
    <xdr:clientData/>
  </xdr:twoCellAnchor>
  <xdr:twoCellAnchor editAs="oneCell">
    <xdr:from>
      <xdr:col>25</xdr:col>
      <xdr:colOff>0</xdr:colOff>
      <xdr:row>7</xdr:row>
      <xdr:rowOff>0</xdr:rowOff>
    </xdr:from>
    <xdr:to>
      <xdr:col>48</xdr:col>
      <xdr:colOff>0</xdr:colOff>
      <xdr:row>17</xdr:row>
      <xdr:rowOff>0</xdr:rowOff>
    </xdr:to>
    <xdr:sp macro="" textlink="">
      <xdr:nvSpPr>
        <xdr:cNvPr id="7" name="Filter card 2"/>
        <xdr:cNvSpPr/>
      </xdr:nvSpPr>
      <xdr:spPr>
        <a:xfrm>
          <a:off x="2381250" y="666750"/>
          <a:ext cx="2190750" cy="952500"/>
        </a:xfrm>
        <a:prstGeom prst="roundRect">
          <a:avLst>
            <a:gd name="adj" fmla="val 6000"/>
          </a:avLst>
        </a:prstGeom>
        <a:solidFill>
          <a:srgbClr val="FFFFFF"/>
        </a:solidFill>
        <a:ln w="9525">
          <a:solidFill>
            <a:srgbClr val="DCE6F5"/>
          </a:solidFill>
        </a:ln>
        <a:effectLst>
          <a:outerShdw blurRad="76200" dist="19050" dir="5400000" algn="t" rotWithShape="0">
            <a:srgbClr val="1F3B73">
              <a:alpha val="13000"/>
            </a:srgbClr>
          </a:outerShdw>
        </a:effectLst>
      </xdr:spPr>
      <xdr:txBody>
        <a:bodyPr vertOverflow="clip" horzOverflow="clip" wrap="square" lIns="0" tIns="0" rIns="0" bIns="0" rtlCol="0" anchor="ctr"/>
        <a:lstStyle/>
        <a:p>
          <a:endParaRPr lang="en-US"/>
        </a:p>
      </xdr:txBody>
    </xdr:sp>
    <xdr:clientData/>
  </xdr:twoCellAnchor>
  <xdr:twoCellAnchor editAs="oneCell">
    <xdr:from>
      <xdr:col>49</xdr:col>
      <xdr:colOff>0</xdr:colOff>
      <xdr:row>7</xdr:row>
      <xdr:rowOff>0</xdr:rowOff>
    </xdr:from>
    <xdr:to>
      <xdr:col>72</xdr:col>
      <xdr:colOff>0</xdr:colOff>
      <xdr:row>17</xdr:row>
      <xdr:rowOff>0</xdr:rowOff>
    </xdr:to>
    <xdr:sp macro="" textlink="">
      <xdr:nvSpPr>
        <xdr:cNvPr id="8" name="Filter card 3"/>
        <xdr:cNvSpPr/>
      </xdr:nvSpPr>
      <xdr:spPr>
        <a:xfrm>
          <a:off x="4667250" y="666750"/>
          <a:ext cx="2190750" cy="952500"/>
        </a:xfrm>
        <a:prstGeom prst="roundRect">
          <a:avLst>
            <a:gd name="adj" fmla="val 6000"/>
          </a:avLst>
        </a:prstGeom>
        <a:solidFill>
          <a:srgbClr val="FFFFFF"/>
        </a:solidFill>
        <a:ln w="9525">
          <a:solidFill>
            <a:srgbClr val="DCE6F5"/>
          </a:solidFill>
        </a:ln>
        <a:effectLst>
          <a:outerShdw blurRad="76200" dist="19050" dir="5400000" algn="t" rotWithShape="0">
            <a:srgbClr val="1F3B73">
              <a:alpha val="13000"/>
            </a:srgbClr>
          </a:outerShdw>
        </a:effectLst>
      </xdr:spPr>
      <xdr:txBody>
        <a:bodyPr vertOverflow="clip" horzOverflow="clip" wrap="square" lIns="0" tIns="0" rIns="0" bIns="0" rtlCol="0" anchor="ctr"/>
        <a:lstStyle/>
        <a:p>
          <a:endParaRPr lang="en-US"/>
        </a:p>
      </xdr:txBody>
    </xdr:sp>
    <xdr:clientData/>
  </xdr:twoCellAnchor>
  <xdr:twoCellAnchor editAs="oneCell">
    <xdr:from>
      <xdr:col>73</xdr:col>
      <xdr:colOff>0</xdr:colOff>
      <xdr:row>7</xdr:row>
      <xdr:rowOff>0</xdr:rowOff>
    </xdr:from>
    <xdr:to>
      <xdr:col>96</xdr:col>
      <xdr:colOff>0</xdr:colOff>
      <xdr:row>17</xdr:row>
      <xdr:rowOff>0</xdr:rowOff>
    </xdr:to>
    <xdr:sp macro="" textlink="">
      <xdr:nvSpPr>
        <xdr:cNvPr id="9" name="Filter card 4"/>
        <xdr:cNvSpPr/>
      </xdr:nvSpPr>
      <xdr:spPr>
        <a:xfrm>
          <a:off x="6953250" y="666750"/>
          <a:ext cx="2190750" cy="952500"/>
        </a:xfrm>
        <a:prstGeom prst="roundRect">
          <a:avLst>
            <a:gd name="adj" fmla="val 6000"/>
          </a:avLst>
        </a:prstGeom>
        <a:solidFill>
          <a:srgbClr val="FFFFFF"/>
        </a:solidFill>
        <a:ln w="9525">
          <a:solidFill>
            <a:srgbClr val="DCE6F5"/>
          </a:solidFill>
        </a:ln>
        <a:effectLst>
          <a:outerShdw blurRad="76200" dist="19050" dir="5400000" algn="t" rotWithShape="0">
            <a:srgbClr val="1F3B73">
              <a:alpha val="13000"/>
            </a:srgbClr>
          </a:outerShdw>
        </a:effectLst>
      </xdr:spPr>
      <xdr:txBody>
        <a:bodyPr vertOverflow="clip" horzOverflow="clip" wrap="square" lIns="0" tIns="0" rIns="0" bIns="0" rtlCol="0" anchor="ctr"/>
        <a:lstStyle/>
        <a:p>
          <a:endParaRPr lang="en-US"/>
        </a:p>
      </xdr:txBody>
    </xdr:sp>
    <xdr:clientData/>
  </xdr:twoCellAnchor>
  <xdr:twoCellAnchor editAs="oneCell">
    <xdr:from>
      <xdr:col>97</xdr:col>
      <xdr:colOff>0</xdr:colOff>
      <xdr:row>7</xdr:row>
      <xdr:rowOff>0</xdr:rowOff>
    </xdr:from>
    <xdr:to>
      <xdr:col>120</xdr:col>
      <xdr:colOff>0</xdr:colOff>
      <xdr:row>17</xdr:row>
      <xdr:rowOff>0</xdr:rowOff>
    </xdr:to>
    <xdr:sp macro="" textlink="">
      <xdr:nvSpPr>
        <xdr:cNvPr id="10" name="Filter card 5"/>
        <xdr:cNvSpPr/>
      </xdr:nvSpPr>
      <xdr:spPr>
        <a:xfrm>
          <a:off x="9239250" y="666750"/>
          <a:ext cx="2190750" cy="952500"/>
        </a:xfrm>
        <a:prstGeom prst="roundRect">
          <a:avLst>
            <a:gd name="adj" fmla="val 6000"/>
          </a:avLst>
        </a:prstGeom>
        <a:solidFill>
          <a:srgbClr val="FFFFFF"/>
        </a:solidFill>
        <a:ln w="9525">
          <a:solidFill>
            <a:srgbClr val="DCE6F5"/>
          </a:solidFill>
        </a:ln>
        <a:effectLst>
          <a:outerShdw blurRad="76200" dist="19050" dir="5400000" algn="t" rotWithShape="0">
            <a:srgbClr val="1F3B73">
              <a:alpha val="13000"/>
            </a:srgbClr>
          </a:outerShdw>
        </a:effectLst>
      </xdr:spPr>
      <xdr:txBody>
        <a:bodyPr vertOverflow="clip" horzOverflow="clip" wrap="square" lIns="0" tIns="0" rIns="0" bIns="0" rtlCol="0" anchor="ctr"/>
        <a:lstStyle/>
        <a:p>
          <a:endParaRPr lang="en-US"/>
        </a:p>
      </xdr:txBody>
    </xdr:sp>
    <xdr:clientData/>
  </xdr:twoCellAnchor>
  <xdr:twoCellAnchor editAs="oneCell">
    <xdr:from>
      <xdr:col>121</xdr:col>
      <xdr:colOff>0</xdr:colOff>
      <xdr:row>7</xdr:row>
      <xdr:rowOff>0</xdr:rowOff>
    </xdr:from>
    <xdr:to>
      <xdr:col>144</xdr:col>
      <xdr:colOff>0</xdr:colOff>
      <xdr:row>17</xdr:row>
      <xdr:rowOff>0</xdr:rowOff>
    </xdr:to>
    <xdr:sp macro="" textlink="">
      <xdr:nvSpPr>
        <xdr:cNvPr id="11" name="Filter card 6"/>
        <xdr:cNvSpPr/>
      </xdr:nvSpPr>
      <xdr:spPr>
        <a:xfrm>
          <a:off x="11525250" y="666750"/>
          <a:ext cx="2190750" cy="952500"/>
        </a:xfrm>
        <a:prstGeom prst="roundRect">
          <a:avLst>
            <a:gd name="adj" fmla="val 6000"/>
          </a:avLst>
        </a:prstGeom>
        <a:solidFill>
          <a:srgbClr val="FFFFFF"/>
        </a:solidFill>
        <a:ln w="9525">
          <a:solidFill>
            <a:srgbClr val="DCE6F5"/>
          </a:solidFill>
        </a:ln>
        <a:effectLst>
          <a:outerShdw blurRad="76200" dist="19050" dir="5400000" algn="t" rotWithShape="0">
            <a:srgbClr val="1F3B73">
              <a:alpha val="13000"/>
            </a:srgbClr>
          </a:outerShdw>
        </a:effectLst>
      </xdr:spPr>
      <xdr:txBody>
        <a:bodyPr vertOverflow="clip" horzOverflow="clip" wrap="square" lIns="0" tIns="0" rIns="0" bIns="0" rtlCol="0" anchor="ctr"/>
        <a:lstStyle/>
        <a:p>
          <a:endParaRPr lang="en-US"/>
        </a:p>
      </xdr:txBody>
    </xdr:sp>
    <xdr:clientData/>
  </xdr:twoCellAnchor>
  <xdr:twoCellAnchor editAs="oneCell">
    <xdr:from>
      <xdr:col>145</xdr:col>
      <xdr:colOff>0</xdr:colOff>
      <xdr:row>7</xdr:row>
      <xdr:rowOff>0</xdr:rowOff>
    </xdr:from>
    <xdr:to>
      <xdr:col>168</xdr:col>
      <xdr:colOff>0</xdr:colOff>
      <xdr:row>17</xdr:row>
      <xdr:rowOff>0</xdr:rowOff>
    </xdr:to>
    <xdr:sp macro="" textlink="">
      <xdr:nvSpPr>
        <xdr:cNvPr id="12" name="Filter card 7"/>
        <xdr:cNvSpPr/>
      </xdr:nvSpPr>
      <xdr:spPr>
        <a:xfrm>
          <a:off x="13811250" y="666750"/>
          <a:ext cx="2190750" cy="952500"/>
        </a:xfrm>
        <a:prstGeom prst="roundRect">
          <a:avLst>
            <a:gd name="adj" fmla="val 6000"/>
          </a:avLst>
        </a:prstGeom>
        <a:solidFill>
          <a:srgbClr val="FFFFFF"/>
        </a:solidFill>
        <a:ln w="9525">
          <a:solidFill>
            <a:srgbClr val="DCE6F5"/>
          </a:solidFill>
        </a:ln>
        <a:effectLst>
          <a:outerShdw blurRad="76200" dist="19050" dir="5400000" algn="t" rotWithShape="0">
            <a:srgbClr val="1F3B73">
              <a:alpha val="13000"/>
            </a:srgbClr>
          </a:outerShdw>
        </a:effectLst>
      </xdr:spPr>
      <xdr:txBody>
        <a:bodyPr vertOverflow="clip" horzOverflow="clip" wrap="square" lIns="0" tIns="0" rIns="0" bIns="0" rtlCol="0" anchor="ctr"/>
        <a:lstStyle/>
        <a:p>
          <a:endParaRPr lang="en-US"/>
        </a:p>
      </xdr:txBody>
    </xdr:sp>
    <xdr:clientData/>
  </xdr:twoCellAnchor>
  <xdr:twoCellAnchor editAs="oneCell">
    <xdr:from>
      <xdr:col>1</xdr:col>
      <xdr:colOff>0</xdr:colOff>
      <xdr:row>7</xdr:row>
      <xdr:rowOff>0</xdr:rowOff>
    </xdr:from>
    <xdr:to>
      <xdr:col>23</xdr:col>
      <xdr:colOff>0</xdr:colOff>
      <xdr:row>16</xdr:row>
      <xdr:rowOff>0</xdr:rowOff>
    </xdr:to>
    <mc:AlternateContent xmlns:mc="http://schemas.openxmlformats.org/markup-compatibility/2006" xmlns:a14="http://schemas.microsoft.com/office/drawing/2010/main">
      <mc:Choice Requires="a14">
        <xdr:graphicFrame macro="">
          <xdr:nvGraphicFramePr>
            <xdr:cNvPr id="13" name="Dash Year"/>
            <xdr:cNvGraphicFramePr/>
          </xdr:nvGraphicFramePr>
          <xdr:xfrm>
            <a:off x="0" y="0"/>
            <a:ext cx="0" cy="0"/>
          </xdr:xfrm>
          <a:graphic>
            <a:graphicData uri="http://schemas.microsoft.com/office/drawing/2010/slicer">
              <sle:slicer xmlns:sle="http://schemas.microsoft.com/office/drawing/2010/slicer" name="Dash Year"/>
            </a:graphicData>
          </a:graphic>
        </xdr:graphicFrame>
      </mc:Choice>
      <mc:Fallback xmlns="">
        <xdr:sp macro="" textlink="">
          <xdr:nvSpPr>
            <xdr:cNvPr id="0" name=""/>
            <xdr:cNvSpPr>
              <a:spLocks noTextEdit="1"/>
            </xdr:cNvSpPr>
          </xdr:nvSpPr>
          <xdr:spPr>
            <a:xfrm>
              <a:off x="152400" y="723900"/>
              <a:ext cx="2076450" cy="83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a:t>
              </a:r>
            </a:p>
          </xdr:txBody>
        </xdr:sp>
      </mc:Fallback>
    </mc:AlternateContent>
    <xdr:clientData/>
  </xdr:twoCellAnchor>
  <xdr:twoCellAnchor editAs="oneCell">
    <xdr:from>
      <xdr:col>25</xdr:col>
      <xdr:colOff>0</xdr:colOff>
      <xdr:row>7</xdr:row>
      <xdr:rowOff>0</xdr:rowOff>
    </xdr:from>
    <xdr:to>
      <xdr:col>47</xdr:col>
      <xdr:colOff>0</xdr:colOff>
      <xdr:row>16</xdr:row>
      <xdr:rowOff>0</xdr:rowOff>
    </xdr:to>
    <mc:AlternateContent xmlns:mc="http://schemas.openxmlformats.org/markup-compatibility/2006" xmlns:a14="http://schemas.microsoft.com/office/drawing/2010/main">
      <mc:Choice Requires="a14">
        <xdr:graphicFrame macro="">
          <xdr:nvGraphicFramePr>
            <xdr:cNvPr id="14" name="Dash Month"/>
            <xdr:cNvGraphicFramePr/>
          </xdr:nvGraphicFramePr>
          <xdr:xfrm>
            <a:off x="0" y="0"/>
            <a:ext cx="0" cy="0"/>
          </xdr:xfrm>
          <a:graphic>
            <a:graphicData uri="http://schemas.microsoft.com/office/drawing/2010/slicer">
              <sle:slicer xmlns:sle="http://schemas.microsoft.com/office/drawing/2010/slicer" name="Dash Month"/>
            </a:graphicData>
          </a:graphic>
        </xdr:graphicFrame>
      </mc:Choice>
      <mc:Fallback xmlns="">
        <xdr:sp macro="" textlink="">
          <xdr:nvSpPr>
            <xdr:cNvPr id="0" name=""/>
            <xdr:cNvSpPr>
              <a:spLocks noTextEdit="1"/>
            </xdr:cNvSpPr>
          </xdr:nvSpPr>
          <xdr:spPr>
            <a:xfrm>
              <a:off x="2438400" y="723900"/>
              <a:ext cx="2076450" cy="83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a:t>
              </a:r>
            </a:p>
          </xdr:txBody>
        </xdr:sp>
      </mc:Fallback>
    </mc:AlternateContent>
    <xdr:clientData/>
  </xdr:twoCellAnchor>
  <xdr:twoCellAnchor editAs="oneCell">
    <xdr:from>
      <xdr:col>49</xdr:col>
      <xdr:colOff>0</xdr:colOff>
      <xdr:row>7</xdr:row>
      <xdr:rowOff>0</xdr:rowOff>
    </xdr:from>
    <xdr:to>
      <xdr:col>71</xdr:col>
      <xdr:colOff>0</xdr:colOff>
      <xdr:row>16</xdr:row>
      <xdr:rowOff>0</xdr:rowOff>
    </xdr:to>
    <mc:AlternateContent xmlns:mc="http://schemas.openxmlformats.org/markup-compatibility/2006" xmlns:a14="http://schemas.microsoft.com/office/drawing/2010/main">
      <mc:Choice Requires="a14">
        <xdr:graphicFrame macro="">
          <xdr:nvGraphicFramePr>
            <xdr:cNvPr id="15" name="Dash Destination"/>
            <xdr:cNvGraphicFramePr/>
          </xdr:nvGraphicFramePr>
          <xdr:xfrm>
            <a:off x="0" y="0"/>
            <a:ext cx="0" cy="0"/>
          </xdr:xfrm>
          <a:graphic>
            <a:graphicData uri="http://schemas.microsoft.com/office/drawing/2010/slicer">
              <sle:slicer xmlns:sle="http://schemas.microsoft.com/office/drawing/2010/slicer" name="Dash Destination"/>
            </a:graphicData>
          </a:graphic>
        </xdr:graphicFrame>
      </mc:Choice>
      <mc:Fallback xmlns="">
        <xdr:sp macro="" textlink="">
          <xdr:nvSpPr>
            <xdr:cNvPr id="0" name=""/>
            <xdr:cNvSpPr>
              <a:spLocks noTextEdit="1"/>
            </xdr:cNvSpPr>
          </xdr:nvSpPr>
          <xdr:spPr>
            <a:xfrm>
              <a:off x="4724400" y="723900"/>
              <a:ext cx="2076450" cy="83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a:t>
              </a:r>
            </a:p>
          </xdr:txBody>
        </xdr:sp>
      </mc:Fallback>
    </mc:AlternateContent>
    <xdr:clientData/>
  </xdr:twoCellAnchor>
  <xdr:twoCellAnchor editAs="oneCell">
    <xdr:from>
      <xdr:col>73</xdr:col>
      <xdr:colOff>0</xdr:colOff>
      <xdr:row>7</xdr:row>
      <xdr:rowOff>0</xdr:rowOff>
    </xdr:from>
    <xdr:to>
      <xdr:col>95</xdr:col>
      <xdr:colOff>0</xdr:colOff>
      <xdr:row>16</xdr:row>
      <xdr:rowOff>0</xdr:rowOff>
    </xdr:to>
    <mc:AlternateContent xmlns:mc="http://schemas.openxmlformats.org/markup-compatibility/2006" xmlns:a14="http://schemas.microsoft.com/office/drawing/2010/main">
      <mc:Choice Requires="a14">
        <xdr:graphicFrame macro="">
          <xdr:nvGraphicFramePr>
            <xdr:cNvPr id="16" name="Dash Package Type"/>
            <xdr:cNvGraphicFramePr/>
          </xdr:nvGraphicFramePr>
          <xdr:xfrm>
            <a:off x="0" y="0"/>
            <a:ext cx="0" cy="0"/>
          </xdr:xfrm>
          <a:graphic>
            <a:graphicData uri="http://schemas.microsoft.com/office/drawing/2010/slicer">
              <sle:slicer xmlns:sle="http://schemas.microsoft.com/office/drawing/2010/slicer" name="Dash Package Type"/>
            </a:graphicData>
          </a:graphic>
        </xdr:graphicFrame>
      </mc:Choice>
      <mc:Fallback xmlns="">
        <xdr:sp macro="" textlink="">
          <xdr:nvSpPr>
            <xdr:cNvPr id="0" name=""/>
            <xdr:cNvSpPr>
              <a:spLocks noTextEdit="1"/>
            </xdr:cNvSpPr>
          </xdr:nvSpPr>
          <xdr:spPr>
            <a:xfrm>
              <a:off x="7010400" y="723900"/>
              <a:ext cx="2076450" cy="83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a:t>
              </a:r>
            </a:p>
          </xdr:txBody>
        </xdr:sp>
      </mc:Fallback>
    </mc:AlternateContent>
    <xdr:clientData/>
  </xdr:twoCellAnchor>
  <xdr:twoCellAnchor editAs="oneCell">
    <xdr:from>
      <xdr:col>97</xdr:col>
      <xdr:colOff>0</xdr:colOff>
      <xdr:row>7</xdr:row>
      <xdr:rowOff>0</xdr:rowOff>
    </xdr:from>
    <xdr:to>
      <xdr:col>119</xdr:col>
      <xdr:colOff>0</xdr:colOff>
      <xdr:row>16</xdr:row>
      <xdr:rowOff>0</xdr:rowOff>
    </xdr:to>
    <mc:AlternateContent xmlns:mc="http://schemas.openxmlformats.org/markup-compatibility/2006" xmlns:a14="http://schemas.microsoft.com/office/drawing/2010/main">
      <mc:Choice Requires="a14">
        <xdr:graphicFrame macro="">
          <xdr:nvGraphicFramePr>
            <xdr:cNvPr id="17" name="Dash Booking Status"/>
            <xdr:cNvGraphicFramePr/>
          </xdr:nvGraphicFramePr>
          <xdr:xfrm>
            <a:off x="0" y="0"/>
            <a:ext cx="0" cy="0"/>
          </xdr:xfrm>
          <a:graphic>
            <a:graphicData uri="http://schemas.microsoft.com/office/drawing/2010/slicer">
              <sle:slicer xmlns:sle="http://schemas.microsoft.com/office/drawing/2010/slicer" name="Dash Booking Status"/>
            </a:graphicData>
          </a:graphic>
        </xdr:graphicFrame>
      </mc:Choice>
      <mc:Fallback xmlns="">
        <xdr:sp macro="" textlink="">
          <xdr:nvSpPr>
            <xdr:cNvPr id="0" name=""/>
            <xdr:cNvSpPr>
              <a:spLocks noTextEdit="1"/>
            </xdr:cNvSpPr>
          </xdr:nvSpPr>
          <xdr:spPr>
            <a:xfrm>
              <a:off x="9296400" y="723900"/>
              <a:ext cx="2076450" cy="83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a:t>
              </a:r>
            </a:p>
          </xdr:txBody>
        </xdr:sp>
      </mc:Fallback>
    </mc:AlternateContent>
    <xdr:clientData/>
  </xdr:twoCellAnchor>
  <xdr:twoCellAnchor editAs="oneCell">
    <xdr:from>
      <xdr:col>121</xdr:col>
      <xdr:colOff>0</xdr:colOff>
      <xdr:row>7</xdr:row>
      <xdr:rowOff>0</xdr:rowOff>
    </xdr:from>
    <xdr:to>
      <xdr:col>143</xdr:col>
      <xdr:colOff>0</xdr:colOff>
      <xdr:row>16</xdr:row>
      <xdr:rowOff>0</xdr:rowOff>
    </xdr:to>
    <mc:AlternateContent xmlns:mc="http://schemas.openxmlformats.org/markup-compatibility/2006" xmlns:a14="http://schemas.microsoft.com/office/drawing/2010/main">
      <mc:Choice Requires="a14">
        <xdr:graphicFrame macro="">
          <xdr:nvGraphicFramePr>
            <xdr:cNvPr id="18" name="Dash Payment Method"/>
            <xdr:cNvGraphicFramePr/>
          </xdr:nvGraphicFramePr>
          <xdr:xfrm>
            <a:off x="0" y="0"/>
            <a:ext cx="0" cy="0"/>
          </xdr:xfrm>
          <a:graphic>
            <a:graphicData uri="http://schemas.microsoft.com/office/drawing/2010/slicer">
              <sle:slicer xmlns:sle="http://schemas.microsoft.com/office/drawing/2010/slicer" name="Dash Payment Method"/>
            </a:graphicData>
          </a:graphic>
        </xdr:graphicFrame>
      </mc:Choice>
      <mc:Fallback xmlns="">
        <xdr:sp macro="" textlink="">
          <xdr:nvSpPr>
            <xdr:cNvPr id="0" name=""/>
            <xdr:cNvSpPr>
              <a:spLocks noTextEdit="1"/>
            </xdr:cNvSpPr>
          </xdr:nvSpPr>
          <xdr:spPr>
            <a:xfrm>
              <a:off x="11582400" y="723900"/>
              <a:ext cx="2076450" cy="83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a:t>
              </a:r>
            </a:p>
          </xdr:txBody>
        </xdr:sp>
      </mc:Fallback>
    </mc:AlternateContent>
    <xdr:clientData/>
  </xdr:twoCellAnchor>
  <xdr:twoCellAnchor editAs="oneCell">
    <xdr:from>
      <xdr:col>145</xdr:col>
      <xdr:colOff>0</xdr:colOff>
      <xdr:row>7</xdr:row>
      <xdr:rowOff>0</xdr:rowOff>
    </xdr:from>
    <xdr:to>
      <xdr:col>167</xdr:col>
      <xdr:colOff>0</xdr:colOff>
      <xdr:row>16</xdr:row>
      <xdr:rowOff>0</xdr:rowOff>
    </xdr:to>
    <mc:AlternateContent xmlns:mc="http://schemas.openxmlformats.org/markup-compatibility/2006" xmlns:a14="http://schemas.microsoft.com/office/drawing/2010/main">
      <mc:Choice Requires="a14">
        <xdr:graphicFrame macro="">
          <xdr:nvGraphicFramePr>
            <xdr:cNvPr id="19" name="Dash Salesperson"/>
            <xdr:cNvGraphicFramePr/>
          </xdr:nvGraphicFramePr>
          <xdr:xfrm>
            <a:off x="0" y="0"/>
            <a:ext cx="0" cy="0"/>
          </xdr:xfrm>
          <a:graphic>
            <a:graphicData uri="http://schemas.microsoft.com/office/drawing/2010/slicer">
              <sle:slicer xmlns:sle="http://schemas.microsoft.com/office/drawing/2010/slicer" name="Dash Salesperson"/>
            </a:graphicData>
          </a:graphic>
        </xdr:graphicFrame>
      </mc:Choice>
      <mc:Fallback xmlns="">
        <xdr:sp macro="" textlink="">
          <xdr:nvSpPr>
            <xdr:cNvPr id="0" name=""/>
            <xdr:cNvSpPr>
              <a:spLocks noTextEdit="1"/>
            </xdr:cNvSpPr>
          </xdr:nvSpPr>
          <xdr:spPr>
            <a:xfrm>
              <a:off x="13868400" y="723900"/>
              <a:ext cx="2076450" cy="83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a:t>
              </a:r>
            </a:p>
          </xdr:txBody>
        </xdr:sp>
      </mc:Fallback>
    </mc:AlternateContent>
    <xdr:clientData/>
  </xdr:twoCellAnchor>
  <xdr:twoCellAnchor editAs="oneCell">
    <xdr:from>
      <xdr:col>1</xdr:col>
      <xdr:colOff>0</xdr:colOff>
      <xdr:row>18</xdr:row>
      <xdr:rowOff>0</xdr:rowOff>
    </xdr:from>
    <xdr:to>
      <xdr:col>33</xdr:col>
      <xdr:colOff>0</xdr:colOff>
      <xdr:row>32</xdr:row>
      <xdr:rowOff>0</xdr:rowOff>
    </xdr:to>
    <xdr:sp macro="" textlink="">
      <xdr:nvSpPr>
        <xdr:cNvPr id="20" name="KPI card 1"/>
        <xdr:cNvSpPr/>
      </xdr:nvSpPr>
      <xdr:spPr>
        <a:xfrm>
          <a:off x="95250" y="1714500"/>
          <a:ext cx="3086100" cy="1333500"/>
        </a:xfrm>
        <a:prstGeom prst="roundRect">
          <a:avLst>
            <a:gd name="adj" fmla="val 9000"/>
          </a:avLst>
        </a:prstGeom>
        <a:solidFill>
          <a:srgbClr val="EAF3FF"/>
        </a:solidFill>
        <a:ln w="9525">
          <a:solidFill>
            <a:srgbClr val="BFD7F5"/>
          </a:solidFill>
        </a:ln>
        <a:effectLst>
          <a:outerShdw blurRad="76200" dist="19050" dir="5400000" algn="t" rotWithShape="0">
            <a:srgbClr val="1F3B73">
              <a:alpha val="13000"/>
            </a:srgbClr>
          </a:outerShdw>
        </a:effectLst>
      </xdr:spPr>
      <xdr:txBody>
        <a:bodyPr vertOverflow="clip" horzOverflow="clip" wrap="square" lIns="0" tIns="0" rIns="0" bIns="0" rtlCol="0" anchor="ctr"/>
        <a:lstStyle/>
        <a:p>
          <a:endParaRPr lang="en-US"/>
        </a:p>
      </xdr:txBody>
    </xdr:sp>
    <xdr:clientData/>
  </xdr:twoCellAnchor>
  <xdr:twoCellAnchor editAs="oneCell">
    <xdr:from>
      <xdr:col>3</xdr:col>
      <xdr:colOff>0</xdr:colOff>
      <xdr:row>20</xdr:row>
      <xdr:rowOff>0</xdr:rowOff>
    </xdr:from>
    <xdr:to>
      <xdr:col>11</xdr:col>
      <xdr:colOff>0</xdr:colOff>
      <xdr:row>28</xdr:row>
      <xdr:rowOff>0</xdr:rowOff>
    </xdr:to>
    <xdr:sp macro="" textlink="">
      <xdr:nvSpPr>
        <xdr:cNvPr id="21" name="KPI icon 1"/>
        <xdr:cNvSpPr/>
      </xdr:nvSpPr>
      <xdr:spPr>
        <a:xfrm>
          <a:off x="285750" y="1943100"/>
          <a:ext cx="800100" cy="800100"/>
        </a:xfrm>
        <a:prstGeom prst="roundRect">
          <a:avLst>
            <a:gd name="adj" fmla="val 20000"/>
          </a:avLst>
        </a:prstGeom>
        <a:solidFill>
          <a:srgbClr val="DCEBFF"/>
        </a:solidFill>
        <a:ln w="9525">
          <a:solidFill>
            <a:srgbClr val="BFD7F5"/>
          </a:solidFill>
        </a:ln>
      </xdr:spPr>
      <xdr:txBody>
        <a:bodyPr vertOverflow="clip" horzOverflow="clip" wrap="square" lIns="0" tIns="0" rIns="0" bIns="0" rtlCol="0" anchor="ctr"/>
        <a:lstStyle/>
        <a:p>
          <a:endParaRPr lang="en-US"/>
        </a:p>
      </xdr:txBody>
    </xdr:sp>
    <xdr:clientData/>
  </xdr:twoCellAnchor>
  <xdr:twoCellAnchor editAs="oneCell">
    <xdr:from>
      <xdr:col>3</xdr:col>
      <xdr:colOff>0</xdr:colOff>
      <xdr:row>20</xdr:row>
      <xdr:rowOff>0</xdr:rowOff>
    </xdr:from>
    <xdr:to>
      <xdr:col>11</xdr:col>
      <xdr:colOff>0</xdr:colOff>
      <xdr:row>28</xdr:row>
      <xdr:rowOff>0</xdr:rowOff>
    </xdr:to>
    <xdr:sp macro="" textlink="">
      <xdr:nvSpPr>
        <xdr:cNvPr id="22" name="KPI emoji 1"/>
        <xdr:cNvSpPr/>
      </xdr:nvSpPr>
      <xdr:spPr>
        <a:xfrm>
          <a:off x="285750" y="1943100"/>
          <a:ext cx="800100" cy="800100"/>
        </a:xfrm>
        <a:prstGeom prst="rect">
          <a:avLst/>
        </a:prstGeom>
        <a:noFill/>
        <a:ln>
          <a:noFill/>
        </a:ln>
      </xdr:spPr>
      <xdr:txBody>
        <a:bodyPr vertOverflow="clip" horzOverflow="clip" wrap="square" lIns="0" tIns="0" rIns="0" bIns="0" rtlCol="0" anchor="ctr"/>
        <a:lstStyle/>
        <a:p>
          <a:pPr algn="ctr"/>
          <a:r>
            <a:rPr lang="en-US" sz="3000" b="0">
              <a:solidFill>
                <a:srgbClr val="1E6FE8"/>
              </a:solidFill>
              <a:latin typeface="Segoe UI Emoji"/>
              <a:ea typeface="Segoe UI Emoji"/>
              <a:cs typeface="Segoe UI Emoji"/>
            </a:rPr>
            <a:t>📋</a:t>
          </a:r>
        </a:p>
      </xdr:txBody>
    </xdr:sp>
    <xdr:clientData/>
  </xdr:twoCellAnchor>
  <xdr:twoCellAnchor editAs="oneCell">
    <xdr:from>
      <xdr:col>13</xdr:col>
      <xdr:colOff>0</xdr:colOff>
      <xdr:row>20</xdr:row>
      <xdr:rowOff>0</xdr:rowOff>
    </xdr:from>
    <xdr:to>
      <xdr:col>32</xdr:col>
      <xdr:colOff>0</xdr:colOff>
      <xdr:row>22</xdr:row>
      <xdr:rowOff>0</xdr:rowOff>
    </xdr:to>
    <xdr:sp macro="" textlink="">
      <xdr:nvSpPr>
        <xdr:cNvPr id="23" name="KPI label 1"/>
        <xdr:cNvSpPr/>
      </xdr:nvSpPr>
      <xdr:spPr>
        <a:xfrm>
          <a:off x="1257300" y="1905000"/>
          <a:ext cx="1866900" cy="209550"/>
        </a:xfrm>
        <a:prstGeom prst="rect">
          <a:avLst/>
        </a:prstGeom>
        <a:noFill/>
        <a:ln>
          <a:noFill/>
        </a:ln>
      </xdr:spPr>
      <xdr:txBody>
        <a:bodyPr vertOverflow="clip" horzOverflow="clip" wrap="square" lIns="0" tIns="0" rIns="0" bIns="0" rtlCol="0" anchor="ctr"/>
        <a:lstStyle/>
        <a:p>
          <a:pPr algn="l"/>
          <a:r>
            <a:rPr lang="en-US" sz="1100" b="1">
              <a:solidFill>
                <a:srgbClr val="0B3CC1"/>
              </a:solidFill>
              <a:latin typeface="Arial"/>
              <a:ea typeface="Arial"/>
              <a:cs typeface="Arial"/>
            </a:rPr>
            <a:t>TOTAL BOOKINGS</a:t>
          </a:r>
        </a:p>
      </xdr:txBody>
    </xdr:sp>
    <xdr:clientData/>
  </xdr:twoCellAnchor>
  <xdr:twoCellAnchor editAs="oneCell">
    <xdr:from>
      <xdr:col>13</xdr:col>
      <xdr:colOff>0</xdr:colOff>
      <xdr:row>22</xdr:row>
      <xdr:rowOff>0</xdr:rowOff>
    </xdr:from>
    <xdr:to>
      <xdr:col>32</xdr:col>
      <xdr:colOff>0</xdr:colOff>
      <xdr:row>27</xdr:row>
      <xdr:rowOff>0</xdr:rowOff>
    </xdr:to>
    <xdr:sp macro="" textlink="'Pivot Data'!$U$8">
      <xdr:nvSpPr>
        <xdr:cNvPr id="24" name="KPI value 1"/>
        <xdr:cNvSpPr/>
      </xdr:nvSpPr>
      <xdr:spPr>
        <a:xfrm>
          <a:off x="1257300" y="2133600"/>
          <a:ext cx="1866900" cy="476250"/>
        </a:xfrm>
        <a:prstGeom prst="rect">
          <a:avLst/>
        </a:prstGeom>
        <a:noFill/>
        <a:ln>
          <a:noFill/>
        </a:ln>
      </xdr:spPr>
      <xdr:txBody>
        <a:bodyPr vertOverflow="clip" horzOverflow="clip" wrap="square" lIns="0" tIns="0" rIns="0" bIns="0" rtlCol="0" anchor="ctr"/>
        <a:lstStyle/>
        <a:p>
          <a:pPr algn="l"/>
          <a:fld id="{C19899D8-C985-4293-B90A-568F36CEA7BC}" type="TxLink">
            <a:rPr lang="en-US" sz="3400" b="1">
              <a:solidFill>
                <a:srgbClr val="0B1F4D"/>
              </a:solidFill>
              <a:latin typeface="Arial"/>
              <a:cs typeface="Arial"/>
            </a:rPr>
            <a:pPr algn="l"/>
            <a:t>191</a:t>
          </a:fld>
          <a:endParaRPr lang="en-US" sz="3400" b="1">
            <a:solidFill>
              <a:srgbClr val="0B1F4D"/>
            </a:solidFill>
            <a:latin typeface="Arial"/>
            <a:cs typeface="Arial"/>
          </a:endParaRPr>
        </a:p>
      </xdr:txBody>
    </xdr:sp>
    <xdr:clientData/>
  </xdr:twoCellAnchor>
  <xdr:twoCellAnchor editAs="oneCell">
    <xdr:from>
      <xdr:col>13</xdr:col>
      <xdr:colOff>0</xdr:colOff>
      <xdr:row>27</xdr:row>
      <xdr:rowOff>0</xdr:rowOff>
    </xdr:from>
    <xdr:to>
      <xdr:col>27</xdr:col>
      <xdr:colOff>0</xdr:colOff>
      <xdr:row>30</xdr:row>
      <xdr:rowOff>0</xdr:rowOff>
    </xdr:to>
    <xdr:sp macro="" textlink="">
      <xdr:nvSpPr>
        <xdr:cNvPr id="25" name="KPI sub 1"/>
        <xdr:cNvSpPr/>
      </xdr:nvSpPr>
      <xdr:spPr>
        <a:xfrm>
          <a:off x="1257300" y="2647950"/>
          <a:ext cx="1333500" cy="209550"/>
        </a:xfrm>
        <a:prstGeom prst="rect">
          <a:avLst/>
        </a:prstGeom>
        <a:noFill/>
        <a:ln>
          <a:noFill/>
        </a:ln>
      </xdr:spPr>
      <xdr:txBody>
        <a:bodyPr vertOverflow="clip" horzOverflow="clip" wrap="square" lIns="0" tIns="0" rIns="0" bIns="0" rtlCol="0" anchor="ctr"/>
        <a:lstStyle/>
        <a:p>
          <a:pPr algn="l"/>
          <a:r>
            <a:rPr lang="en-US" sz="900" b="0">
              <a:solidFill>
                <a:srgbClr val="0B1F4D"/>
              </a:solidFill>
              <a:latin typeface="Arial"/>
              <a:ea typeface="Arial"/>
              <a:cs typeface="Arial"/>
            </a:rPr>
            <a:t>Count of Booking ID</a:t>
          </a:r>
        </a:p>
      </xdr:txBody>
    </xdr:sp>
    <xdr:clientData/>
  </xdr:twoCellAnchor>
  <xdr:twoCellAnchor editAs="oneCell">
    <xdr:from>
      <xdr:col>27</xdr:col>
      <xdr:colOff>0</xdr:colOff>
      <xdr:row>29</xdr:row>
      <xdr:rowOff>0</xdr:rowOff>
    </xdr:from>
    <xdr:to>
      <xdr:col>27</xdr:col>
      <xdr:colOff>0</xdr:colOff>
      <xdr:row>30</xdr:row>
      <xdr:rowOff>0</xdr:rowOff>
    </xdr:to>
    <xdr:sp macro="" textlink="">
      <xdr:nvSpPr>
        <xdr:cNvPr id="26" name="KPI bar 1.1"/>
        <xdr:cNvSpPr/>
      </xdr:nvSpPr>
      <xdr:spPr>
        <a:xfrm>
          <a:off x="2571750" y="2781300"/>
          <a:ext cx="57150" cy="95250"/>
        </a:xfrm>
        <a:prstGeom prst="rect">
          <a:avLst/>
        </a:prstGeom>
        <a:solidFill>
          <a:srgbClr val="1E6FE8"/>
        </a:solidFill>
        <a:ln>
          <a:noFill/>
        </a:ln>
      </xdr:spPr>
      <xdr:txBody>
        <a:bodyPr vertOverflow="clip" horzOverflow="clip" wrap="square" lIns="0" tIns="0" rIns="0" bIns="0" rtlCol="0" anchor="ctr"/>
        <a:lstStyle/>
        <a:p>
          <a:endParaRPr lang="en-US"/>
        </a:p>
      </xdr:txBody>
    </xdr:sp>
    <xdr:clientData/>
  </xdr:twoCellAnchor>
  <xdr:twoCellAnchor editAs="oneCell">
    <xdr:from>
      <xdr:col>28</xdr:col>
      <xdr:colOff>0</xdr:colOff>
      <xdr:row>28</xdr:row>
      <xdr:rowOff>0</xdr:rowOff>
    </xdr:from>
    <xdr:to>
      <xdr:col>28</xdr:col>
      <xdr:colOff>0</xdr:colOff>
      <xdr:row>30</xdr:row>
      <xdr:rowOff>0</xdr:rowOff>
    </xdr:to>
    <xdr:sp macro="" textlink="">
      <xdr:nvSpPr>
        <xdr:cNvPr id="27" name="KPI bar 1.2"/>
        <xdr:cNvSpPr/>
      </xdr:nvSpPr>
      <xdr:spPr>
        <a:xfrm>
          <a:off x="2667000" y="2724150"/>
          <a:ext cx="57150" cy="152400"/>
        </a:xfrm>
        <a:prstGeom prst="rect">
          <a:avLst/>
        </a:prstGeom>
        <a:solidFill>
          <a:srgbClr val="1E6FE8"/>
        </a:solidFill>
        <a:ln>
          <a:noFill/>
        </a:ln>
      </xdr:spPr>
      <xdr:txBody>
        <a:bodyPr vertOverflow="clip" horzOverflow="clip" wrap="square" lIns="0" tIns="0" rIns="0" bIns="0" rtlCol="0" anchor="ctr"/>
        <a:lstStyle/>
        <a:p>
          <a:endParaRPr lang="en-US"/>
        </a:p>
      </xdr:txBody>
    </xdr:sp>
    <xdr:clientData/>
  </xdr:twoCellAnchor>
  <xdr:twoCellAnchor editAs="oneCell">
    <xdr:from>
      <xdr:col>29</xdr:col>
      <xdr:colOff>0</xdr:colOff>
      <xdr:row>27</xdr:row>
      <xdr:rowOff>0</xdr:rowOff>
    </xdr:from>
    <xdr:to>
      <xdr:col>29</xdr:col>
      <xdr:colOff>0</xdr:colOff>
      <xdr:row>30</xdr:row>
      <xdr:rowOff>0</xdr:rowOff>
    </xdr:to>
    <xdr:sp macro="" textlink="">
      <xdr:nvSpPr>
        <xdr:cNvPr id="28" name="KPI bar 1.3"/>
        <xdr:cNvSpPr/>
      </xdr:nvSpPr>
      <xdr:spPr>
        <a:xfrm>
          <a:off x="2762250" y="2657475"/>
          <a:ext cx="57150" cy="219075"/>
        </a:xfrm>
        <a:prstGeom prst="rect">
          <a:avLst/>
        </a:prstGeom>
        <a:solidFill>
          <a:srgbClr val="1E6FE8"/>
        </a:solidFill>
        <a:ln>
          <a:noFill/>
        </a:ln>
      </xdr:spPr>
      <xdr:txBody>
        <a:bodyPr vertOverflow="clip" horzOverflow="clip" wrap="square" lIns="0" tIns="0" rIns="0" bIns="0" rtlCol="0" anchor="ctr"/>
        <a:lstStyle/>
        <a:p>
          <a:endParaRPr lang="en-US"/>
        </a:p>
      </xdr:txBody>
    </xdr:sp>
    <xdr:clientData/>
  </xdr:twoCellAnchor>
  <xdr:twoCellAnchor editAs="oneCell">
    <xdr:from>
      <xdr:col>30</xdr:col>
      <xdr:colOff>0</xdr:colOff>
      <xdr:row>27</xdr:row>
      <xdr:rowOff>0</xdr:rowOff>
    </xdr:from>
    <xdr:to>
      <xdr:col>30</xdr:col>
      <xdr:colOff>0</xdr:colOff>
      <xdr:row>30</xdr:row>
      <xdr:rowOff>0</xdr:rowOff>
    </xdr:to>
    <xdr:sp macro="" textlink="">
      <xdr:nvSpPr>
        <xdr:cNvPr id="29" name="KPI bar 1.4"/>
        <xdr:cNvSpPr/>
      </xdr:nvSpPr>
      <xdr:spPr>
        <a:xfrm>
          <a:off x="2857500" y="2581275"/>
          <a:ext cx="57150" cy="295275"/>
        </a:xfrm>
        <a:prstGeom prst="rect">
          <a:avLst/>
        </a:prstGeom>
        <a:solidFill>
          <a:srgbClr val="1E6FE8"/>
        </a:solidFill>
        <a:ln>
          <a:noFill/>
        </a:ln>
      </xdr:spPr>
      <xdr:txBody>
        <a:bodyPr vertOverflow="clip" horzOverflow="clip" wrap="square" lIns="0" tIns="0" rIns="0" bIns="0" rtlCol="0" anchor="ctr"/>
        <a:lstStyle/>
        <a:p>
          <a:endParaRPr lang="en-US"/>
        </a:p>
      </xdr:txBody>
    </xdr:sp>
    <xdr:clientData/>
  </xdr:twoCellAnchor>
  <xdr:twoCellAnchor editAs="oneCell">
    <xdr:from>
      <xdr:col>31</xdr:col>
      <xdr:colOff>0</xdr:colOff>
      <xdr:row>26</xdr:row>
      <xdr:rowOff>0</xdr:rowOff>
    </xdr:from>
    <xdr:to>
      <xdr:col>31</xdr:col>
      <xdr:colOff>0</xdr:colOff>
      <xdr:row>30</xdr:row>
      <xdr:rowOff>0</xdr:rowOff>
    </xdr:to>
    <xdr:sp macro="" textlink="">
      <xdr:nvSpPr>
        <xdr:cNvPr id="30" name="KPI bar 1.5"/>
        <xdr:cNvSpPr/>
      </xdr:nvSpPr>
      <xdr:spPr>
        <a:xfrm>
          <a:off x="2952750" y="2495550"/>
          <a:ext cx="57150" cy="381000"/>
        </a:xfrm>
        <a:prstGeom prst="rect">
          <a:avLst/>
        </a:prstGeom>
        <a:solidFill>
          <a:srgbClr val="1E6FE8"/>
        </a:solidFill>
        <a:ln>
          <a:noFill/>
        </a:ln>
      </xdr:spPr>
      <xdr:txBody>
        <a:bodyPr vertOverflow="clip" horzOverflow="clip" wrap="square" lIns="0" tIns="0" rIns="0" bIns="0" rtlCol="0" anchor="ctr"/>
        <a:lstStyle/>
        <a:p>
          <a:endParaRPr lang="en-US"/>
        </a:p>
      </xdr:txBody>
    </xdr:sp>
    <xdr:clientData/>
  </xdr:twoCellAnchor>
  <xdr:twoCellAnchor editAs="oneCell">
    <xdr:from>
      <xdr:col>34</xdr:col>
      <xdr:colOff>0</xdr:colOff>
      <xdr:row>18</xdr:row>
      <xdr:rowOff>0</xdr:rowOff>
    </xdr:from>
    <xdr:to>
      <xdr:col>66</xdr:col>
      <xdr:colOff>0</xdr:colOff>
      <xdr:row>32</xdr:row>
      <xdr:rowOff>0</xdr:rowOff>
    </xdr:to>
    <xdr:sp macro="" textlink="">
      <xdr:nvSpPr>
        <xdr:cNvPr id="31" name="KPI card 2"/>
        <xdr:cNvSpPr/>
      </xdr:nvSpPr>
      <xdr:spPr>
        <a:xfrm>
          <a:off x="3276600" y="1714500"/>
          <a:ext cx="3086100" cy="1333500"/>
        </a:xfrm>
        <a:prstGeom prst="roundRect">
          <a:avLst>
            <a:gd name="adj" fmla="val 9000"/>
          </a:avLst>
        </a:prstGeom>
        <a:solidFill>
          <a:srgbClr val="FFF3E6"/>
        </a:solidFill>
        <a:ln w="9525">
          <a:solidFill>
            <a:srgbClr val="F6D3AE"/>
          </a:solidFill>
        </a:ln>
        <a:effectLst>
          <a:outerShdw blurRad="76200" dist="19050" dir="5400000" algn="t" rotWithShape="0">
            <a:srgbClr val="1F3B73">
              <a:alpha val="13000"/>
            </a:srgbClr>
          </a:outerShdw>
        </a:effectLst>
      </xdr:spPr>
      <xdr:txBody>
        <a:bodyPr vertOverflow="clip" horzOverflow="clip" wrap="square" lIns="0" tIns="0" rIns="0" bIns="0" rtlCol="0" anchor="ctr"/>
        <a:lstStyle/>
        <a:p>
          <a:endParaRPr lang="en-US"/>
        </a:p>
      </xdr:txBody>
    </xdr:sp>
    <xdr:clientData/>
  </xdr:twoCellAnchor>
  <xdr:twoCellAnchor editAs="oneCell">
    <xdr:from>
      <xdr:col>36</xdr:col>
      <xdr:colOff>0</xdr:colOff>
      <xdr:row>20</xdr:row>
      <xdr:rowOff>0</xdr:rowOff>
    </xdr:from>
    <xdr:to>
      <xdr:col>44</xdr:col>
      <xdr:colOff>0</xdr:colOff>
      <xdr:row>28</xdr:row>
      <xdr:rowOff>0</xdr:rowOff>
    </xdr:to>
    <xdr:sp macro="" textlink="">
      <xdr:nvSpPr>
        <xdr:cNvPr id="32" name="KPI icon 2"/>
        <xdr:cNvSpPr/>
      </xdr:nvSpPr>
      <xdr:spPr>
        <a:xfrm>
          <a:off x="3467100" y="1943100"/>
          <a:ext cx="800100" cy="800100"/>
        </a:xfrm>
        <a:prstGeom prst="roundRect">
          <a:avLst>
            <a:gd name="adj" fmla="val 20000"/>
          </a:avLst>
        </a:prstGeom>
        <a:solidFill>
          <a:srgbClr val="FFE2C2"/>
        </a:solidFill>
        <a:ln w="9525">
          <a:solidFill>
            <a:srgbClr val="F6D3AE"/>
          </a:solidFill>
        </a:ln>
      </xdr:spPr>
      <xdr:txBody>
        <a:bodyPr vertOverflow="clip" horzOverflow="clip" wrap="square" lIns="0" tIns="0" rIns="0" bIns="0" rtlCol="0" anchor="ctr"/>
        <a:lstStyle/>
        <a:p>
          <a:endParaRPr lang="en-US"/>
        </a:p>
      </xdr:txBody>
    </xdr:sp>
    <xdr:clientData/>
  </xdr:twoCellAnchor>
  <xdr:twoCellAnchor editAs="oneCell">
    <xdr:from>
      <xdr:col>36</xdr:col>
      <xdr:colOff>0</xdr:colOff>
      <xdr:row>20</xdr:row>
      <xdr:rowOff>0</xdr:rowOff>
    </xdr:from>
    <xdr:to>
      <xdr:col>44</xdr:col>
      <xdr:colOff>0</xdr:colOff>
      <xdr:row>28</xdr:row>
      <xdr:rowOff>0</xdr:rowOff>
    </xdr:to>
    <xdr:sp macro="" textlink="">
      <xdr:nvSpPr>
        <xdr:cNvPr id="33" name="KPI emoji 2"/>
        <xdr:cNvSpPr/>
      </xdr:nvSpPr>
      <xdr:spPr>
        <a:xfrm>
          <a:off x="3467100" y="1943100"/>
          <a:ext cx="800100" cy="800100"/>
        </a:xfrm>
        <a:prstGeom prst="rect">
          <a:avLst/>
        </a:prstGeom>
        <a:noFill/>
        <a:ln>
          <a:noFill/>
        </a:ln>
      </xdr:spPr>
      <xdr:txBody>
        <a:bodyPr vertOverflow="clip" horzOverflow="clip" wrap="square" lIns="0" tIns="0" rIns="0" bIns="0" rtlCol="0" anchor="ctr"/>
        <a:lstStyle/>
        <a:p>
          <a:pPr algn="ctr"/>
          <a:r>
            <a:rPr lang="en-US" sz="3000" b="0">
              <a:solidFill>
                <a:srgbClr val="F28C1E"/>
              </a:solidFill>
              <a:latin typeface="Segoe UI Emoji"/>
              <a:ea typeface="Segoe UI Emoji"/>
              <a:cs typeface="Segoe UI Emoji"/>
            </a:rPr>
            <a:t>💰</a:t>
          </a:r>
        </a:p>
      </xdr:txBody>
    </xdr:sp>
    <xdr:clientData/>
  </xdr:twoCellAnchor>
  <xdr:twoCellAnchor editAs="oneCell">
    <xdr:from>
      <xdr:col>46</xdr:col>
      <xdr:colOff>0</xdr:colOff>
      <xdr:row>20</xdr:row>
      <xdr:rowOff>0</xdr:rowOff>
    </xdr:from>
    <xdr:to>
      <xdr:col>66</xdr:col>
      <xdr:colOff>0</xdr:colOff>
      <xdr:row>22</xdr:row>
      <xdr:rowOff>0</xdr:rowOff>
    </xdr:to>
    <xdr:sp macro="" textlink="">
      <xdr:nvSpPr>
        <xdr:cNvPr id="34" name="KPI label 2"/>
        <xdr:cNvSpPr/>
      </xdr:nvSpPr>
      <xdr:spPr>
        <a:xfrm>
          <a:off x="4438650" y="1905000"/>
          <a:ext cx="1866900" cy="209550"/>
        </a:xfrm>
        <a:prstGeom prst="rect">
          <a:avLst/>
        </a:prstGeom>
        <a:noFill/>
        <a:ln>
          <a:noFill/>
        </a:ln>
      </xdr:spPr>
      <xdr:txBody>
        <a:bodyPr vertOverflow="clip" horzOverflow="clip" wrap="square" lIns="0" tIns="0" rIns="0" bIns="0" rtlCol="0" anchor="ctr"/>
        <a:lstStyle/>
        <a:p>
          <a:pPr algn="l"/>
          <a:r>
            <a:rPr lang="en-US" sz="1100" b="1">
              <a:solidFill>
                <a:srgbClr val="B45309"/>
              </a:solidFill>
              <a:latin typeface="Arial"/>
              <a:ea typeface="Arial"/>
              <a:cs typeface="Arial"/>
            </a:rPr>
            <a:t>TOTAL REVENUE</a:t>
          </a:r>
        </a:p>
      </xdr:txBody>
    </xdr:sp>
    <xdr:clientData/>
  </xdr:twoCellAnchor>
  <xdr:twoCellAnchor editAs="oneCell">
    <xdr:from>
      <xdr:col>46</xdr:col>
      <xdr:colOff>0</xdr:colOff>
      <xdr:row>22</xdr:row>
      <xdr:rowOff>0</xdr:rowOff>
    </xdr:from>
    <xdr:to>
      <xdr:col>66</xdr:col>
      <xdr:colOff>0</xdr:colOff>
      <xdr:row>27</xdr:row>
      <xdr:rowOff>0</xdr:rowOff>
    </xdr:to>
    <xdr:sp macro="" textlink="'Pivot Data'!$U$9">
      <xdr:nvSpPr>
        <xdr:cNvPr id="35" name="KPI value 2"/>
        <xdr:cNvSpPr/>
      </xdr:nvSpPr>
      <xdr:spPr>
        <a:xfrm>
          <a:off x="4438650" y="2133600"/>
          <a:ext cx="1866900" cy="476250"/>
        </a:xfrm>
        <a:prstGeom prst="rect">
          <a:avLst/>
        </a:prstGeom>
        <a:noFill/>
        <a:ln>
          <a:noFill/>
        </a:ln>
      </xdr:spPr>
      <xdr:txBody>
        <a:bodyPr vertOverflow="clip" horzOverflow="clip" wrap="square" lIns="0" tIns="0" rIns="0" bIns="0" rtlCol="0" anchor="ctr"/>
        <a:lstStyle/>
        <a:p>
          <a:pPr algn="l"/>
          <a:fld id="{8274C0CB-7088-4111-B400-8B84FCCBBBC3}" type="TxLink">
            <a:rPr lang="en-US" sz="3400" b="1">
              <a:solidFill>
                <a:srgbClr val="0B1F4D"/>
              </a:solidFill>
              <a:latin typeface="Arial"/>
              <a:cs typeface="Arial"/>
            </a:rPr>
            <a:pPr algn="l"/>
            <a:t>₹6.23M</a:t>
          </a:fld>
          <a:endParaRPr lang="en-US" sz="3400" b="1">
            <a:solidFill>
              <a:srgbClr val="0B1F4D"/>
            </a:solidFill>
            <a:latin typeface="Arial"/>
            <a:cs typeface="Arial"/>
          </a:endParaRPr>
        </a:p>
      </xdr:txBody>
    </xdr:sp>
    <xdr:clientData/>
  </xdr:twoCellAnchor>
  <xdr:twoCellAnchor editAs="oneCell">
    <xdr:from>
      <xdr:col>46</xdr:col>
      <xdr:colOff>0</xdr:colOff>
      <xdr:row>27</xdr:row>
      <xdr:rowOff>0</xdr:rowOff>
    </xdr:from>
    <xdr:to>
      <xdr:col>60</xdr:col>
      <xdr:colOff>0</xdr:colOff>
      <xdr:row>30</xdr:row>
      <xdr:rowOff>0</xdr:rowOff>
    </xdr:to>
    <xdr:sp macro="" textlink="">
      <xdr:nvSpPr>
        <xdr:cNvPr id="36" name="KPI sub 2"/>
        <xdr:cNvSpPr/>
      </xdr:nvSpPr>
      <xdr:spPr>
        <a:xfrm>
          <a:off x="4438650" y="2647950"/>
          <a:ext cx="1333500" cy="209550"/>
        </a:xfrm>
        <a:prstGeom prst="rect">
          <a:avLst/>
        </a:prstGeom>
        <a:noFill/>
        <a:ln>
          <a:noFill/>
        </a:ln>
      </xdr:spPr>
      <xdr:txBody>
        <a:bodyPr vertOverflow="clip" horzOverflow="clip" wrap="square" lIns="0" tIns="0" rIns="0" bIns="0" rtlCol="0" anchor="ctr"/>
        <a:lstStyle/>
        <a:p>
          <a:pPr algn="l"/>
          <a:r>
            <a:rPr lang="en-US" sz="900" b="0">
              <a:solidFill>
                <a:srgbClr val="0B1F4D"/>
              </a:solidFill>
              <a:latin typeface="Arial"/>
              <a:ea typeface="Arial"/>
              <a:cs typeface="Arial"/>
            </a:rPr>
            <a:t>Sum of Revenue</a:t>
          </a:r>
        </a:p>
      </xdr:txBody>
    </xdr:sp>
    <xdr:clientData/>
  </xdr:twoCellAnchor>
  <xdr:twoCellAnchor editAs="oneCell">
    <xdr:from>
      <xdr:col>60</xdr:col>
      <xdr:colOff>0</xdr:colOff>
      <xdr:row>29</xdr:row>
      <xdr:rowOff>0</xdr:rowOff>
    </xdr:from>
    <xdr:to>
      <xdr:col>61</xdr:col>
      <xdr:colOff>0</xdr:colOff>
      <xdr:row>30</xdr:row>
      <xdr:rowOff>0</xdr:rowOff>
    </xdr:to>
    <xdr:sp macro="" textlink="">
      <xdr:nvSpPr>
        <xdr:cNvPr id="37" name="KPI bar 2.1"/>
        <xdr:cNvSpPr/>
      </xdr:nvSpPr>
      <xdr:spPr>
        <a:xfrm>
          <a:off x="5753100" y="2781300"/>
          <a:ext cx="57150" cy="95250"/>
        </a:xfrm>
        <a:prstGeom prst="rect">
          <a:avLst/>
        </a:prstGeom>
        <a:solidFill>
          <a:srgbClr val="F28C1E"/>
        </a:solidFill>
        <a:ln>
          <a:noFill/>
        </a:ln>
      </xdr:spPr>
      <xdr:txBody>
        <a:bodyPr vertOverflow="clip" horzOverflow="clip" wrap="square" lIns="0" tIns="0" rIns="0" bIns="0" rtlCol="0" anchor="ctr"/>
        <a:lstStyle/>
        <a:p>
          <a:endParaRPr lang="en-US"/>
        </a:p>
      </xdr:txBody>
    </xdr:sp>
    <xdr:clientData/>
  </xdr:twoCellAnchor>
  <xdr:twoCellAnchor editAs="oneCell">
    <xdr:from>
      <xdr:col>61</xdr:col>
      <xdr:colOff>0</xdr:colOff>
      <xdr:row>28</xdr:row>
      <xdr:rowOff>0</xdr:rowOff>
    </xdr:from>
    <xdr:to>
      <xdr:col>62</xdr:col>
      <xdr:colOff>0</xdr:colOff>
      <xdr:row>30</xdr:row>
      <xdr:rowOff>0</xdr:rowOff>
    </xdr:to>
    <xdr:sp macro="" textlink="">
      <xdr:nvSpPr>
        <xdr:cNvPr id="38" name="KPI bar 2.2"/>
        <xdr:cNvSpPr/>
      </xdr:nvSpPr>
      <xdr:spPr>
        <a:xfrm>
          <a:off x="5848350" y="2724150"/>
          <a:ext cx="57150" cy="152400"/>
        </a:xfrm>
        <a:prstGeom prst="rect">
          <a:avLst/>
        </a:prstGeom>
        <a:solidFill>
          <a:srgbClr val="F28C1E"/>
        </a:solidFill>
        <a:ln>
          <a:noFill/>
        </a:ln>
      </xdr:spPr>
      <xdr:txBody>
        <a:bodyPr vertOverflow="clip" horzOverflow="clip" wrap="square" lIns="0" tIns="0" rIns="0" bIns="0" rtlCol="0" anchor="ctr"/>
        <a:lstStyle/>
        <a:p>
          <a:endParaRPr lang="en-US"/>
        </a:p>
      </xdr:txBody>
    </xdr:sp>
    <xdr:clientData/>
  </xdr:twoCellAnchor>
  <xdr:twoCellAnchor editAs="oneCell">
    <xdr:from>
      <xdr:col>62</xdr:col>
      <xdr:colOff>0</xdr:colOff>
      <xdr:row>27</xdr:row>
      <xdr:rowOff>0</xdr:rowOff>
    </xdr:from>
    <xdr:to>
      <xdr:col>63</xdr:col>
      <xdr:colOff>0</xdr:colOff>
      <xdr:row>30</xdr:row>
      <xdr:rowOff>0</xdr:rowOff>
    </xdr:to>
    <xdr:sp macro="" textlink="">
      <xdr:nvSpPr>
        <xdr:cNvPr id="39" name="KPI bar 2.3"/>
        <xdr:cNvSpPr/>
      </xdr:nvSpPr>
      <xdr:spPr>
        <a:xfrm>
          <a:off x="5943600" y="2657475"/>
          <a:ext cx="57150" cy="219075"/>
        </a:xfrm>
        <a:prstGeom prst="rect">
          <a:avLst/>
        </a:prstGeom>
        <a:solidFill>
          <a:srgbClr val="F28C1E"/>
        </a:solidFill>
        <a:ln>
          <a:noFill/>
        </a:ln>
      </xdr:spPr>
      <xdr:txBody>
        <a:bodyPr vertOverflow="clip" horzOverflow="clip" wrap="square" lIns="0" tIns="0" rIns="0" bIns="0" rtlCol="0" anchor="ctr"/>
        <a:lstStyle/>
        <a:p>
          <a:endParaRPr lang="en-US"/>
        </a:p>
      </xdr:txBody>
    </xdr:sp>
    <xdr:clientData/>
  </xdr:twoCellAnchor>
  <xdr:twoCellAnchor editAs="oneCell">
    <xdr:from>
      <xdr:col>63</xdr:col>
      <xdr:colOff>0</xdr:colOff>
      <xdr:row>27</xdr:row>
      <xdr:rowOff>0</xdr:rowOff>
    </xdr:from>
    <xdr:to>
      <xdr:col>64</xdr:col>
      <xdr:colOff>0</xdr:colOff>
      <xdr:row>30</xdr:row>
      <xdr:rowOff>0</xdr:rowOff>
    </xdr:to>
    <xdr:sp macro="" textlink="">
      <xdr:nvSpPr>
        <xdr:cNvPr id="40" name="KPI bar 2.4"/>
        <xdr:cNvSpPr/>
      </xdr:nvSpPr>
      <xdr:spPr>
        <a:xfrm>
          <a:off x="6038850" y="2581275"/>
          <a:ext cx="57150" cy="295275"/>
        </a:xfrm>
        <a:prstGeom prst="rect">
          <a:avLst/>
        </a:prstGeom>
        <a:solidFill>
          <a:srgbClr val="F28C1E"/>
        </a:solidFill>
        <a:ln>
          <a:noFill/>
        </a:ln>
      </xdr:spPr>
      <xdr:txBody>
        <a:bodyPr vertOverflow="clip" horzOverflow="clip" wrap="square" lIns="0" tIns="0" rIns="0" bIns="0" rtlCol="0" anchor="ctr"/>
        <a:lstStyle/>
        <a:p>
          <a:endParaRPr lang="en-US"/>
        </a:p>
      </xdr:txBody>
    </xdr:sp>
    <xdr:clientData/>
  </xdr:twoCellAnchor>
  <xdr:twoCellAnchor editAs="oneCell">
    <xdr:from>
      <xdr:col>64</xdr:col>
      <xdr:colOff>0</xdr:colOff>
      <xdr:row>26</xdr:row>
      <xdr:rowOff>0</xdr:rowOff>
    </xdr:from>
    <xdr:to>
      <xdr:col>65</xdr:col>
      <xdr:colOff>0</xdr:colOff>
      <xdr:row>30</xdr:row>
      <xdr:rowOff>0</xdr:rowOff>
    </xdr:to>
    <xdr:sp macro="" textlink="">
      <xdr:nvSpPr>
        <xdr:cNvPr id="41" name="KPI bar 2.5"/>
        <xdr:cNvSpPr/>
      </xdr:nvSpPr>
      <xdr:spPr>
        <a:xfrm>
          <a:off x="6134100" y="2495550"/>
          <a:ext cx="57150" cy="381000"/>
        </a:xfrm>
        <a:prstGeom prst="rect">
          <a:avLst/>
        </a:prstGeom>
        <a:solidFill>
          <a:srgbClr val="F28C1E"/>
        </a:solidFill>
        <a:ln>
          <a:noFill/>
        </a:ln>
      </xdr:spPr>
      <xdr:txBody>
        <a:bodyPr vertOverflow="clip" horzOverflow="clip" wrap="square" lIns="0" tIns="0" rIns="0" bIns="0" rtlCol="0" anchor="ctr"/>
        <a:lstStyle/>
        <a:p>
          <a:endParaRPr lang="en-US"/>
        </a:p>
      </xdr:txBody>
    </xdr:sp>
    <xdr:clientData/>
  </xdr:twoCellAnchor>
  <xdr:twoCellAnchor editAs="oneCell">
    <xdr:from>
      <xdr:col>67</xdr:col>
      <xdr:colOff>0</xdr:colOff>
      <xdr:row>18</xdr:row>
      <xdr:rowOff>0</xdr:rowOff>
    </xdr:from>
    <xdr:to>
      <xdr:col>100</xdr:col>
      <xdr:colOff>0</xdr:colOff>
      <xdr:row>32</xdr:row>
      <xdr:rowOff>0</xdr:rowOff>
    </xdr:to>
    <xdr:sp macro="" textlink="">
      <xdr:nvSpPr>
        <xdr:cNvPr id="42" name="KPI card 3"/>
        <xdr:cNvSpPr/>
      </xdr:nvSpPr>
      <xdr:spPr>
        <a:xfrm>
          <a:off x="6457950" y="1714500"/>
          <a:ext cx="3086100" cy="1333500"/>
        </a:xfrm>
        <a:prstGeom prst="roundRect">
          <a:avLst>
            <a:gd name="adj" fmla="val 9000"/>
          </a:avLst>
        </a:prstGeom>
        <a:solidFill>
          <a:srgbClr val="E9F8EF"/>
        </a:solidFill>
        <a:ln w="9525">
          <a:solidFill>
            <a:srgbClr val="B8E2C7"/>
          </a:solidFill>
        </a:ln>
        <a:effectLst>
          <a:outerShdw blurRad="76200" dist="19050" dir="5400000" algn="t" rotWithShape="0">
            <a:srgbClr val="1F3B73">
              <a:alpha val="13000"/>
            </a:srgbClr>
          </a:outerShdw>
        </a:effectLst>
      </xdr:spPr>
      <xdr:txBody>
        <a:bodyPr vertOverflow="clip" horzOverflow="clip" wrap="square" lIns="0" tIns="0" rIns="0" bIns="0" rtlCol="0" anchor="ctr"/>
        <a:lstStyle/>
        <a:p>
          <a:endParaRPr lang="en-US"/>
        </a:p>
      </xdr:txBody>
    </xdr:sp>
    <xdr:clientData/>
  </xdr:twoCellAnchor>
  <xdr:twoCellAnchor editAs="oneCell">
    <xdr:from>
      <xdr:col>69</xdr:col>
      <xdr:colOff>0</xdr:colOff>
      <xdr:row>20</xdr:row>
      <xdr:rowOff>0</xdr:rowOff>
    </xdr:from>
    <xdr:to>
      <xdr:col>78</xdr:col>
      <xdr:colOff>0</xdr:colOff>
      <xdr:row>28</xdr:row>
      <xdr:rowOff>0</xdr:rowOff>
    </xdr:to>
    <xdr:sp macro="" textlink="">
      <xdr:nvSpPr>
        <xdr:cNvPr id="43" name="KPI icon 3"/>
        <xdr:cNvSpPr/>
      </xdr:nvSpPr>
      <xdr:spPr>
        <a:xfrm>
          <a:off x="6648450" y="1943100"/>
          <a:ext cx="800100" cy="800100"/>
        </a:xfrm>
        <a:prstGeom prst="roundRect">
          <a:avLst>
            <a:gd name="adj" fmla="val 20000"/>
          </a:avLst>
        </a:prstGeom>
        <a:solidFill>
          <a:srgbClr val="CDEFD9"/>
        </a:solidFill>
        <a:ln w="9525">
          <a:solidFill>
            <a:srgbClr val="B8E2C7"/>
          </a:solidFill>
        </a:ln>
      </xdr:spPr>
      <xdr:txBody>
        <a:bodyPr vertOverflow="clip" horzOverflow="clip" wrap="square" lIns="0" tIns="0" rIns="0" bIns="0" rtlCol="0" anchor="ctr"/>
        <a:lstStyle/>
        <a:p>
          <a:endParaRPr lang="en-US"/>
        </a:p>
      </xdr:txBody>
    </xdr:sp>
    <xdr:clientData/>
  </xdr:twoCellAnchor>
  <xdr:twoCellAnchor editAs="oneCell">
    <xdr:from>
      <xdr:col>69</xdr:col>
      <xdr:colOff>0</xdr:colOff>
      <xdr:row>20</xdr:row>
      <xdr:rowOff>0</xdr:rowOff>
    </xdr:from>
    <xdr:to>
      <xdr:col>78</xdr:col>
      <xdr:colOff>0</xdr:colOff>
      <xdr:row>28</xdr:row>
      <xdr:rowOff>0</xdr:rowOff>
    </xdr:to>
    <xdr:sp macro="" textlink="">
      <xdr:nvSpPr>
        <xdr:cNvPr id="44" name="KPI emoji 3"/>
        <xdr:cNvSpPr/>
      </xdr:nvSpPr>
      <xdr:spPr>
        <a:xfrm>
          <a:off x="6648450" y="1943100"/>
          <a:ext cx="800100" cy="800100"/>
        </a:xfrm>
        <a:prstGeom prst="rect">
          <a:avLst/>
        </a:prstGeom>
        <a:noFill/>
        <a:ln>
          <a:noFill/>
        </a:ln>
      </xdr:spPr>
      <xdr:txBody>
        <a:bodyPr vertOverflow="clip" horzOverflow="clip" wrap="square" lIns="0" tIns="0" rIns="0" bIns="0" rtlCol="0" anchor="ctr"/>
        <a:lstStyle/>
        <a:p>
          <a:pPr algn="ctr"/>
          <a:r>
            <a:rPr lang="en-US" sz="3000" b="0">
              <a:solidFill>
                <a:srgbClr val="1FA35A"/>
              </a:solidFill>
              <a:latin typeface="Segoe UI Emoji"/>
              <a:ea typeface="Segoe UI Emoji"/>
              <a:cs typeface="Segoe UI Emoji"/>
            </a:rPr>
            <a:t>👥</a:t>
          </a:r>
        </a:p>
      </xdr:txBody>
    </xdr:sp>
    <xdr:clientData/>
  </xdr:twoCellAnchor>
  <xdr:twoCellAnchor editAs="oneCell">
    <xdr:from>
      <xdr:col>80</xdr:col>
      <xdr:colOff>0</xdr:colOff>
      <xdr:row>20</xdr:row>
      <xdr:rowOff>0</xdr:rowOff>
    </xdr:from>
    <xdr:to>
      <xdr:col>99</xdr:col>
      <xdr:colOff>0</xdr:colOff>
      <xdr:row>22</xdr:row>
      <xdr:rowOff>0</xdr:rowOff>
    </xdr:to>
    <xdr:sp macro="" textlink="">
      <xdr:nvSpPr>
        <xdr:cNvPr id="45" name="KPI label 3"/>
        <xdr:cNvSpPr/>
      </xdr:nvSpPr>
      <xdr:spPr>
        <a:xfrm>
          <a:off x="7620000" y="1905000"/>
          <a:ext cx="1866900" cy="209550"/>
        </a:xfrm>
        <a:prstGeom prst="rect">
          <a:avLst/>
        </a:prstGeom>
        <a:noFill/>
        <a:ln>
          <a:noFill/>
        </a:ln>
      </xdr:spPr>
      <xdr:txBody>
        <a:bodyPr vertOverflow="clip" horzOverflow="clip" wrap="square" lIns="0" tIns="0" rIns="0" bIns="0" rtlCol="0" anchor="ctr"/>
        <a:lstStyle/>
        <a:p>
          <a:pPr algn="l"/>
          <a:r>
            <a:rPr lang="en-US" sz="1100" b="1">
              <a:solidFill>
                <a:srgbClr val="15803D"/>
              </a:solidFill>
              <a:latin typeface="Arial"/>
              <a:ea typeface="Arial"/>
              <a:cs typeface="Arial"/>
            </a:rPr>
            <a:t>TOTAL TRAVELERS</a:t>
          </a:r>
        </a:p>
      </xdr:txBody>
    </xdr:sp>
    <xdr:clientData/>
  </xdr:twoCellAnchor>
  <xdr:twoCellAnchor editAs="oneCell">
    <xdr:from>
      <xdr:col>80</xdr:col>
      <xdr:colOff>0</xdr:colOff>
      <xdr:row>22</xdr:row>
      <xdr:rowOff>0</xdr:rowOff>
    </xdr:from>
    <xdr:to>
      <xdr:col>99</xdr:col>
      <xdr:colOff>0</xdr:colOff>
      <xdr:row>27</xdr:row>
      <xdr:rowOff>0</xdr:rowOff>
    </xdr:to>
    <xdr:sp macro="" textlink="'Pivot Data'!$U$10">
      <xdr:nvSpPr>
        <xdr:cNvPr id="46" name="KPI value 3"/>
        <xdr:cNvSpPr/>
      </xdr:nvSpPr>
      <xdr:spPr>
        <a:xfrm>
          <a:off x="7620000" y="2133600"/>
          <a:ext cx="1866900" cy="476250"/>
        </a:xfrm>
        <a:prstGeom prst="rect">
          <a:avLst/>
        </a:prstGeom>
        <a:noFill/>
        <a:ln>
          <a:noFill/>
        </a:ln>
      </xdr:spPr>
      <xdr:txBody>
        <a:bodyPr vertOverflow="clip" horzOverflow="clip" wrap="square" lIns="0" tIns="0" rIns="0" bIns="0" rtlCol="0" anchor="ctr"/>
        <a:lstStyle/>
        <a:p>
          <a:pPr algn="l"/>
          <a:fld id="{69EFD5AD-CF76-42CB-9C5D-1ACA8E2C71E5}" type="TxLink">
            <a:rPr lang="en-US" sz="3400" b="1">
              <a:solidFill>
                <a:srgbClr val="0B1F4D"/>
              </a:solidFill>
              <a:latin typeface="Arial"/>
              <a:cs typeface="Arial"/>
            </a:rPr>
            <a:pPr algn="l"/>
            <a:t>669</a:t>
          </a:fld>
          <a:endParaRPr lang="en-US" sz="3400" b="1">
            <a:solidFill>
              <a:srgbClr val="0B1F4D"/>
            </a:solidFill>
            <a:latin typeface="Arial"/>
            <a:cs typeface="Arial"/>
          </a:endParaRPr>
        </a:p>
      </xdr:txBody>
    </xdr:sp>
    <xdr:clientData/>
  </xdr:twoCellAnchor>
  <xdr:twoCellAnchor editAs="oneCell">
    <xdr:from>
      <xdr:col>80</xdr:col>
      <xdr:colOff>0</xdr:colOff>
      <xdr:row>27</xdr:row>
      <xdr:rowOff>0</xdr:rowOff>
    </xdr:from>
    <xdr:to>
      <xdr:col>94</xdr:col>
      <xdr:colOff>0</xdr:colOff>
      <xdr:row>30</xdr:row>
      <xdr:rowOff>0</xdr:rowOff>
    </xdr:to>
    <xdr:sp macro="" textlink="">
      <xdr:nvSpPr>
        <xdr:cNvPr id="47" name="KPI sub 3"/>
        <xdr:cNvSpPr/>
      </xdr:nvSpPr>
      <xdr:spPr>
        <a:xfrm>
          <a:off x="7620000" y="2647950"/>
          <a:ext cx="1333500" cy="209550"/>
        </a:xfrm>
        <a:prstGeom prst="rect">
          <a:avLst/>
        </a:prstGeom>
        <a:noFill/>
        <a:ln>
          <a:noFill/>
        </a:ln>
      </xdr:spPr>
      <xdr:txBody>
        <a:bodyPr vertOverflow="clip" horzOverflow="clip" wrap="square" lIns="0" tIns="0" rIns="0" bIns="0" rtlCol="0" anchor="ctr"/>
        <a:lstStyle/>
        <a:p>
          <a:pPr algn="l"/>
          <a:r>
            <a:rPr lang="en-US" sz="900" b="0">
              <a:solidFill>
                <a:srgbClr val="0B1F4D"/>
              </a:solidFill>
              <a:latin typeface="Arial"/>
              <a:ea typeface="Arial"/>
              <a:cs typeface="Arial"/>
            </a:rPr>
            <a:t>Sum of Travelers</a:t>
          </a:r>
        </a:p>
      </xdr:txBody>
    </xdr:sp>
    <xdr:clientData/>
  </xdr:twoCellAnchor>
  <xdr:twoCellAnchor editAs="oneCell">
    <xdr:from>
      <xdr:col>93</xdr:col>
      <xdr:colOff>0</xdr:colOff>
      <xdr:row>29</xdr:row>
      <xdr:rowOff>0</xdr:rowOff>
    </xdr:from>
    <xdr:to>
      <xdr:col>94</xdr:col>
      <xdr:colOff>0</xdr:colOff>
      <xdr:row>30</xdr:row>
      <xdr:rowOff>0</xdr:rowOff>
    </xdr:to>
    <xdr:sp macro="" textlink="">
      <xdr:nvSpPr>
        <xdr:cNvPr id="48" name="KPI bar 3.1"/>
        <xdr:cNvSpPr/>
      </xdr:nvSpPr>
      <xdr:spPr>
        <a:xfrm>
          <a:off x="8934450" y="2781300"/>
          <a:ext cx="57150" cy="95250"/>
        </a:xfrm>
        <a:prstGeom prst="rect">
          <a:avLst/>
        </a:prstGeom>
        <a:solidFill>
          <a:srgbClr val="1FA35A"/>
        </a:solidFill>
        <a:ln>
          <a:noFill/>
        </a:ln>
      </xdr:spPr>
      <xdr:txBody>
        <a:bodyPr vertOverflow="clip" horzOverflow="clip" wrap="square" lIns="0" tIns="0" rIns="0" bIns="0" rtlCol="0" anchor="ctr"/>
        <a:lstStyle/>
        <a:p>
          <a:endParaRPr lang="en-US"/>
        </a:p>
      </xdr:txBody>
    </xdr:sp>
    <xdr:clientData/>
  </xdr:twoCellAnchor>
  <xdr:twoCellAnchor editAs="oneCell">
    <xdr:from>
      <xdr:col>94</xdr:col>
      <xdr:colOff>0</xdr:colOff>
      <xdr:row>28</xdr:row>
      <xdr:rowOff>0</xdr:rowOff>
    </xdr:from>
    <xdr:to>
      <xdr:col>95</xdr:col>
      <xdr:colOff>0</xdr:colOff>
      <xdr:row>30</xdr:row>
      <xdr:rowOff>0</xdr:rowOff>
    </xdr:to>
    <xdr:sp macro="" textlink="">
      <xdr:nvSpPr>
        <xdr:cNvPr id="49" name="KPI bar 3.2"/>
        <xdr:cNvSpPr/>
      </xdr:nvSpPr>
      <xdr:spPr>
        <a:xfrm>
          <a:off x="9029700" y="2724150"/>
          <a:ext cx="57150" cy="152400"/>
        </a:xfrm>
        <a:prstGeom prst="rect">
          <a:avLst/>
        </a:prstGeom>
        <a:solidFill>
          <a:srgbClr val="1FA35A"/>
        </a:solidFill>
        <a:ln>
          <a:noFill/>
        </a:ln>
      </xdr:spPr>
      <xdr:txBody>
        <a:bodyPr vertOverflow="clip" horzOverflow="clip" wrap="square" lIns="0" tIns="0" rIns="0" bIns="0" rtlCol="0" anchor="ctr"/>
        <a:lstStyle/>
        <a:p>
          <a:endParaRPr lang="en-US"/>
        </a:p>
      </xdr:txBody>
    </xdr:sp>
    <xdr:clientData/>
  </xdr:twoCellAnchor>
  <xdr:twoCellAnchor editAs="oneCell">
    <xdr:from>
      <xdr:col>95</xdr:col>
      <xdr:colOff>0</xdr:colOff>
      <xdr:row>27</xdr:row>
      <xdr:rowOff>0</xdr:rowOff>
    </xdr:from>
    <xdr:to>
      <xdr:col>96</xdr:col>
      <xdr:colOff>0</xdr:colOff>
      <xdr:row>30</xdr:row>
      <xdr:rowOff>0</xdr:rowOff>
    </xdr:to>
    <xdr:sp macro="" textlink="">
      <xdr:nvSpPr>
        <xdr:cNvPr id="50" name="KPI bar 3.3"/>
        <xdr:cNvSpPr/>
      </xdr:nvSpPr>
      <xdr:spPr>
        <a:xfrm>
          <a:off x="9124950" y="2657475"/>
          <a:ext cx="57150" cy="219075"/>
        </a:xfrm>
        <a:prstGeom prst="rect">
          <a:avLst/>
        </a:prstGeom>
        <a:solidFill>
          <a:srgbClr val="1FA35A"/>
        </a:solidFill>
        <a:ln>
          <a:noFill/>
        </a:ln>
      </xdr:spPr>
      <xdr:txBody>
        <a:bodyPr vertOverflow="clip" horzOverflow="clip" wrap="square" lIns="0" tIns="0" rIns="0" bIns="0" rtlCol="0" anchor="ctr"/>
        <a:lstStyle/>
        <a:p>
          <a:endParaRPr lang="en-US"/>
        </a:p>
      </xdr:txBody>
    </xdr:sp>
    <xdr:clientData/>
  </xdr:twoCellAnchor>
  <xdr:twoCellAnchor editAs="oneCell">
    <xdr:from>
      <xdr:col>96</xdr:col>
      <xdr:colOff>0</xdr:colOff>
      <xdr:row>27</xdr:row>
      <xdr:rowOff>0</xdr:rowOff>
    </xdr:from>
    <xdr:to>
      <xdr:col>97</xdr:col>
      <xdr:colOff>0</xdr:colOff>
      <xdr:row>30</xdr:row>
      <xdr:rowOff>0</xdr:rowOff>
    </xdr:to>
    <xdr:sp macro="" textlink="">
      <xdr:nvSpPr>
        <xdr:cNvPr id="51" name="KPI bar 3.4"/>
        <xdr:cNvSpPr/>
      </xdr:nvSpPr>
      <xdr:spPr>
        <a:xfrm>
          <a:off x="9220200" y="2581275"/>
          <a:ext cx="57150" cy="295275"/>
        </a:xfrm>
        <a:prstGeom prst="rect">
          <a:avLst/>
        </a:prstGeom>
        <a:solidFill>
          <a:srgbClr val="1FA35A"/>
        </a:solidFill>
        <a:ln>
          <a:noFill/>
        </a:ln>
      </xdr:spPr>
      <xdr:txBody>
        <a:bodyPr vertOverflow="clip" horzOverflow="clip" wrap="square" lIns="0" tIns="0" rIns="0" bIns="0" rtlCol="0" anchor="ctr"/>
        <a:lstStyle/>
        <a:p>
          <a:endParaRPr lang="en-US"/>
        </a:p>
      </xdr:txBody>
    </xdr:sp>
    <xdr:clientData/>
  </xdr:twoCellAnchor>
  <xdr:twoCellAnchor editAs="oneCell">
    <xdr:from>
      <xdr:col>97</xdr:col>
      <xdr:colOff>0</xdr:colOff>
      <xdr:row>26</xdr:row>
      <xdr:rowOff>0</xdr:rowOff>
    </xdr:from>
    <xdr:to>
      <xdr:col>98</xdr:col>
      <xdr:colOff>0</xdr:colOff>
      <xdr:row>30</xdr:row>
      <xdr:rowOff>0</xdr:rowOff>
    </xdr:to>
    <xdr:sp macro="" textlink="">
      <xdr:nvSpPr>
        <xdr:cNvPr id="52" name="KPI bar 3.5"/>
        <xdr:cNvSpPr/>
      </xdr:nvSpPr>
      <xdr:spPr>
        <a:xfrm>
          <a:off x="9315450" y="2495550"/>
          <a:ext cx="57150" cy="381000"/>
        </a:xfrm>
        <a:prstGeom prst="rect">
          <a:avLst/>
        </a:prstGeom>
        <a:solidFill>
          <a:srgbClr val="1FA35A"/>
        </a:solidFill>
        <a:ln>
          <a:noFill/>
        </a:ln>
      </xdr:spPr>
      <xdr:txBody>
        <a:bodyPr vertOverflow="clip" horzOverflow="clip" wrap="square" lIns="0" tIns="0" rIns="0" bIns="0" rtlCol="0" anchor="ctr"/>
        <a:lstStyle/>
        <a:p>
          <a:endParaRPr lang="en-US"/>
        </a:p>
      </xdr:txBody>
    </xdr:sp>
    <xdr:clientData/>
  </xdr:twoCellAnchor>
  <xdr:twoCellAnchor editAs="oneCell">
    <xdr:from>
      <xdr:col>101</xdr:col>
      <xdr:colOff>0</xdr:colOff>
      <xdr:row>18</xdr:row>
      <xdr:rowOff>0</xdr:rowOff>
    </xdr:from>
    <xdr:to>
      <xdr:col>133</xdr:col>
      <xdr:colOff>0</xdr:colOff>
      <xdr:row>32</xdr:row>
      <xdr:rowOff>0</xdr:rowOff>
    </xdr:to>
    <xdr:sp macro="" textlink="">
      <xdr:nvSpPr>
        <xdr:cNvPr id="53" name="KPI card 4"/>
        <xdr:cNvSpPr/>
      </xdr:nvSpPr>
      <xdr:spPr>
        <a:xfrm>
          <a:off x="9639300" y="1714500"/>
          <a:ext cx="3086100" cy="1333500"/>
        </a:xfrm>
        <a:prstGeom prst="roundRect">
          <a:avLst>
            <a:gd name="adj" fmla="val 9000"/>
          </a:avLst>
        </a:prstGeom>
        <a:solidFill>
          <a:srgbClr val="F3EDFE"/>
        </a:solidFill>
        <a:ln w="9525">
          <a:solidFill>
            <a:srgbClr val="D5C6F5"/>
          </a:solidFill>
        </a:ln>
        <a:effectLst>
          <a:outerShdw blurRad="76200" dist="19050" dir="5400000" algn="t" rotWithShape="0">
            <a:srgbClr val="1F3B73">
              <a:alpha val="13000"/>
            </a:srgbClr>
          </a:outerShdw>
        </a:effectLst>
      </xdr:spPr>
      <xdr:txBody>
        <a:bodyPr vertOverflow="clip" horzOverflow="clip" wrap="square" lIns="0" tIns="0" rIns="0" bIns="0" rtlCol="0" anchor="ctr"/>
        <a:lstStyle/>
        <a:p>
          <a:endParaRPr lang="en-US"/>
        </a:p>
      </xdr:txBody>
    </xdr:sp>
    <xdr:clientData/>
  </xdr:twoCellAnchor>
  <xdr:twoCellAnchor editAs="oneCell">
    <xdr:from>
      <xdr:col>103</xdr:col>
      <xdr:colOff>0</xdr:colOff>
      <xdr:row>20</xdr:row>
      <xdr:rowOff>0</xdr:rowOff>
    </xdr:from>
    <xdr:to>
      <xdr:col>111</xdr:col>
      <xdr:colOff>0</xdr:colOff>
      <xdr:row>28</xdr:row>
      <xdr:rowOff>0</xdr:rowOff>
    </xdr:to>
    <xdr:sp macro="" textlink="">
      <xdr:nvSpPr>
        <xdr:cNvPr id="54" name="KPI icon 4"/>
        <xdr:cNvSpPr/>
      </xdr:nvSpPr>
      <xdr:spPr>
        <a:xfrm>
          <a:off x="9829800" y="1943100"/>
          <a:ext cx="800100" cy="800100"/>
        </a:xfrm>
        <a:prstGeom prst="roundRect">
          <a:avLst>
            <a:gd name="adj" fmla="val 20000"/>
          </a:avLst>
        </a:prstGeom>
        <a:solidFill>
          <a:srgbClr val="E3D6FB"/>
        </a:solidFill>
        <a:ln w="9525">
          <a:solidFill>
            <a:srgbClr val="D5C6F5"/>
          </a:solidFill>
        </a:ln>
      </xdr:spPr>
      <xdr:txBody>
        <a:bodyPr vertOverflow="clip" horzOverflow="clip" wrap="square" lIns="0" tIns="0" rIns="0" bIns="0" rtlCol="0" anchor="ctr"/>
        <a:lstStyle/>
        <a:p>
          <a:endParaRPr lang="en-US"/>
        </a:p>
      </xdr:txBody>
    </xdr:sp>
    <xdr:clientData/>
  </xdr:twoCellAnchor>
  <xdr:twoCellAnchor editAs="oneCell">
    <xdr:from>
      <xdr:col>103</xdr:col>
      <xdr:colOff>0</xdr:colOff>
      <xdr:row>20</xdr:row>
      <xdr:rowOff>0</xdr:rowOff>
    </xdr:from>
    <xdr:to>
      <xdr:col>111</xdr:col>
      <xdr:colOff>0</xdr:colOff>
      <xdr:row>28</xdr:row>
      <xdr:rowOff>0</xdr:rowOff>
    </xdr:to>
    <xdr:sp macro="" textlink="">
      <xdr:nvSpPr>
        <xdr:cNvPr id="55" name="KPI emoji 4"/>
        <xdr:cNvSpPr/>
      </xdr:nvSpPr>
      <xdr:spPr>
        <a:xfrm>
          <a:off x="9829800" y="1943100"/>
          <a:ext cx="800100" cy="800100"/>
        </a:xfrm>
        <a:prstGeom prst="rect">
          <a:avLst/>
        </a:prstGeom>
        <a:noFill/>
        <a:ln>
          <a:noFill/>
        </a:ln>
      </xdr:spPr>
      <xdr:txBody>
        <a:bodyPr vertOverflow="clip" horzOverflow="clip" wrap="square" lIns="0" tIns="0" rIns="0" bIns="0" rtlCol="0" anchor="ctr"/>
        <a:lstStyle/>
        <a:p>
          <a:pPr algn="ctr"/>
          <a:r>
            <a:rPr lang="en-US" sz="3000" b="0">
              <a:solidFill>
                <a:srgbClr val="7C3AED"/>
              </a:solidFill>
              <a:latin typeface="Segoe UI Emoji"/>
              <a:ea typeface="Segoe UI Emoji"/>
              <a:cs typeface="Segoe UI Emoji"/>
            </a:rPr>
            <a:t>📊</a:t>
          </a:r>
        </a:p>
      </xdr:txBody>
    </xdr:sp>
    <xdr:clientData/>
  </xdr:twoCellAnchor>
  <xdr:twoCellAnchor editAs="oneCell">
    <xdr:from>
      <xdr:col>113</xdr:col>
      <xdr:colOff>0</xdr:colOff>
      <xdr:row>20</xdr:row>
      <xdr:rowOff>0</xdr:rowOff>
    </xdr:from>
    <xdr:to>
      <xdr:col>133</xdr:col>
      <xdr:colOff>0</xdr:colOff>
      <xdr:row>22</xdr:row>
      <xdr:rowOff>0</xdr:rowOff>
    </xdr:to>
    <xdr:sp macro="" textlink="">
      <xdr:nvSpPr>
        <xdr:cNvPr id="56" name="KPI label 4"/>
        <xdr:cNvSpPr/>
      </xdr:nvSpPr>
      <xdr:spPr>
        <a:xfrm>
          <a:off x="10801350" y="1905000"/>
          <a:ext cx="1866900" cy="209550"/>
        </a:xfrm>
        <a:prstGeom prst="rect">
          <a:avLst/>
        </a:prstGeom>
        <a:noFill/>
        <a:ln>
          <a:noFill/>
        </a:ln>
      </xdr:spPr>
      <xdr:txBody>
        <a:bodyPr vertOverflow="clip" horzOverflow="clip" wrap="square" lIns="0" tIns="0" rIns="0" bIns="0" rtlCol="0" anchor="ctr"/>
        <a:lstStyle/>
        <a:p>
          <a:pPr algn="l"/>
          <a:r>
            <a:rPr lang="en-US" sz="1100" b="1">
              <a:solidFill>
                <a:srgbClr val="5B21B6"/>
              </a:solidFill>
              <a:latin typeface="Arial"/>
              <a:ea typeface="Arial"/>
              <a:cs typeface="Arial"/>
            </a:rPr>
            <a:t>AVERAGE BOOKING VALUE</a:t>
          </a:r>
        </a:p>
      </xdr:txBody>
    </xdr:sp>
    <xdr:clientData/>
  </xdr:twoCellAnchor>
  <xdr:twoCellAnchor editAs="oneCell">
    <xdr:from>
      <xdr:col>113</xdr:col>
      <xdr:colOff>0</xdr:colOff>
      <xdr:row>22</xdr:row>
      <xdr:rowOff>0</xdr:rowOff>
    </xdr:from>
    <xdr:to>
      <xdr:col>133</xdr:col>
      <xdr:colOff>0</xdr:colOff>
      <xdr:row>27</xdr:row>
      <xdr:rowOff>0</xdr:rowOff>
    </xdr:to>
    <xdr:sp macro="" textlink="'Pivot Data'!$U$11">
      <xdr:nvSpPr>
        <xdr:cNvPr id="57" name="KPI value 4"/>
        <xdr:cNvSpPr/>
      </xdr:nvSpPr>
      <xdr:spPr>
        <a:xfrm>
          <a:off x="10801350" y="2133600"/>
          <a:ext cx="1866900" cy="476250"/>
        </a:xfrm>
        <a:prstGeom prst="rect">
          <a:avLst/>
        </a:prstGeom>
        <a:noFill/>
        <a:ln>
          <a:noFill/>
        </a:ln>
      </xdr:spPr>
      <xdr:txBody>
        <a:bodyPr vertOverflow="clip" horzOverflow="clip" wrap="square" lIns="0" tIns="0" rIns="0" bIns="0" rtlCol="0" anchor="ctr"/>
        <a:lstStyle/>
        <a:p>
          <a:pPr algn="l"/>
          <a:fld id="{A0C89EEA-A9C8-49A4-A409-338279B6FF0E}" type="TxLink">
            <a:rPr lang="en-US" sz="3400" b="1">
              <a:solidFill>
                <a:srgbClr val="0B1F4D"/>
              </a:solidFill>
              <a:latin typeface="Arial"/>
              <a:cs typeface="Arial"/>
            </a:rPr>
            <a:pPr algn="l"/>
            <a:t>₹32.6K</a:t>
          </a:fld>
          <a:endParaRPr lang="en-US" sz="3400" b="1">
            <a:solidFill>
              <a:srgbClr val="0B1F4D"/>
            </a:solidFill>
            <a:latin typeface="Arial"/>
            <a:cs typeface="Arial"/>
          </a:endParaRPr>
        </a:p>
      </xdr:txBody>
    </xdr:sp>
    <xdr:clientData/>
  </xdr:twoCellAnchor>
  <xdr:twoCellAnchor editAs="oneCell">
    <xdr:from>
      <xdr:col>113</xdr:col>
      <xdr:colOff>0</xdr:colOff>
      <xdr:row>27</xdr:row>
      <xdr:rowOff>0</xdr:rowOff>
    </xdr:from>
    <xdr:to>
      <xdr:col>127</xdr:col>
      <xdr:colOff>0</xdr:colOff>
      <xdr:row>30</xdr:row>
      <xdr:rowOff>0</xdr:rowOff>
    </xdr:to>
    <xdr:sp macro="" textlink="">
      <xdr:nvSpPr>
        <xdr:cNvPr id="58" name="KPI sub 4"/>
        <xdr:cNvSpPr/>
      </xdr:nvSpPr>
      <xdr:spPr>
        <a:xfrm>
          <a:off x="10801350" y="2647950"/>
          <a:ext cx="1333500" cy="209550"/>
        </a:xfrm>
        <a:prstGeom prst="rect">
          <a:avLst/>
        </a:prstGeom>
        <a:noFill/>
        <a:ln>
          <a:noFill/>
        </a:ln>
      </xdr:spPr>
      <xdr:txBody>
        <a:bodyPr vertOverflow="clip" horzOverflow="clip" wrap="square" lIns="0" tIns="0" rIns="0" bIns="0" rtlCol="0" anchor="ctr"/>
        <a:lstStyle/>
        <a:p>
          <a:pPr algn="l"/>
          <a:r>
            <a:rPr lang="en-US" sz="900" b="0">
              <a:solidFill>
                <a:srgbClr val="0B1F4D"/>
              </a:solidFill>
              <a:latin typeface="Arial"/>
              <a:ea typeface="Arial"/>
              <a:cs typeface="Arial"/>
            </a:rPr>
            <a:t>Average of Booking Amount</a:t>
          </a:r>
        </a:p>
      </xdr:txBody>
    </xdr:sp>
    <xdr:clientData/>
  </xdr:twoCellAnchor>
  <xdr:twoCellAnchor editAs="oneCell">
    <xdr:from>
      <xdr:col>127</xdr:col>
      <xdr:colOff>0</xdr:colOff>
      <xdr:row>29</xdr:row>
      <xdr:rowOff>0</xdr:rowOff>
    </xdr:from>
    <xdr:to>
      <xdr:col>127</xdr:col>
      <xdr:colOff>0</xdr:colOff>
      <xdr:row>30</xdr:row>
      <xdr:rowOff>0</xdr:rowOff>
    </xdr:to>
    <xdr:sp macro="" textlink="">
      <xdr:nvSpPr>
        <xdr:cNvPr id="59" name="KPI bar 4.1"/>
        <xdr:cNvSpPr/>
      </xdr:nvSpPr>
      <xdr:spPr>
        <a:xfrm>
          <a:off x="12115800" y="2781300"/>
          <a:ext cx="57150" cy="95250"/>
        </a:xfrm>
        <a:prstGeom prst="rect">
          <a:avLst/>
        </a:prstGeom>
        <a:solidFill>
          <a:srgbClr val="7C3AED"/>
        </a:solidFill>
        <a:ln>
          <a:noFill/>
        </a:ln>
      </xdr:spPr>
      <xdr:txBody>
        <a:bodyPr vertOverflow="clip" horzOverflow="clip" wrap="square" lIns="0" tIns="0" rIns="0" bIns="0" rtlCol="0" anchor="ctr"/>
        <a:lstStyle/>
        <a:p>
          <a:endParaRPr lang="en-US"/>
        </a:p>
      </xdr:txBody>
    </xdr:sp>
    <xdr:clientData/>
  </xdr:twoCellAnchor>
  <xdr:twoCellAnchor editAs="oneCell">
    <xdr:from>
      <xdr:col>128</xdr:col>
      <xdr:colOff>0</xdr:colOff>
      <xdr:row>28</xdr:row>
      <xdr:rowOff>0</xdr:rowOff>
    </xdr:from>
    <xdr:to>
      <xdr:col>128</xdr:col>
      <xdr:colOff>0</xdr:colOff>
      <xdr:row>30</xdr:row>
      <xdr:rowOff>0</xdr:rowOff>
    </xdr:to>
    <xdr:sp macro="" textlink="">
      <xdr:nvSpPr>
        <xdr:cNvPr id="60" name="KPI bar 4.2"/>
        <xdr:cNvSpPr/>
      </xdr:nvSpPr>
      <xdr:spPr>
        <a:xfrm>
          <a:off x="12211050" y="2724150"/>
          <a:ext cx="57150" cy="152400"/>
        </a:xfrm>
        <a:prstGeom prst="rect">
          <a:avLst/>
        </a:prstGeom>
        <a:solidFill>
          <a:srgbClr val="7C3AED"/>
        </a:solidFill>
        <a:ln>
          <a:noFill/>
        </a:ln>
      </xdr:spPr>
      <xdr:txBody>
        <a:bodyPr vertOverflow="clip" horzOverflow="clip" wrap="square" lIns="0" tIns="0" rIns="0" bIns="0" rtlCol="0" anchor="ctr"/>
        <a:lstStyle/>
        <a:p>
          <a:endParaRPr lang="en-US"/>
        </a:p>
      </xdr:txBody>
    </xdr:sp>
    <xdr:clientData/>
  </xdr:twoCellAnchor>
  <xdr:twoCellAnchor editAs="oneCell">
    <xdr:from>
      <xdr:col>129</xdr:col>
      <xdr:colOff>0</xdr:colOff>
      <xdr:row>27</xdr:row>
      <xdr:rowOff>0</xdr:rowOff>
    </xdr:from>
    <xdr:to>
      <xdr:col>129</xdr:col>
      <xdr:colOff>0</xdr:colOff>
      <xdr:row>30</xdr:row>
      <xdr:rowOff>0</xdr:rowOff>
    </xdr:to>
    <xdr:sp macro="" textlink="">
      <xdr:nvSpPr>
        <xdr:cNvPr id="61" name="KPI bar 4.3"/>
        <xdr:cNvSpPr/>
      </xdr:nvSpPr>
      <xdr:spPr>
        <a:xfrm>
          <a:off x="12306300" y="2657475"/>
          <a:ext cx="57150" cy="219075"/>
        </a:xfrm>
        <a:prstGeom prst="rect">
          <a:avLst/>
        </a:prstGeom>
        <a:solidFill>
          <a:srgbClr val="7C3AED"/>
        </a:solidFill>
        <a:ln>
          <a:noFill/>
        </a:ln>
      </xdr:spPr>
      <xdr:txBody>
        <a:bodyPr vertOverflow="clip" horzOverflow="clip" wrap="square" lIns="0" tIns="0" rIns="0" bIns="0" rtlCol="0" anchor="ctr"/>
        <a:lstStyle/>
        <a:p>
          <a:endParaRPr lang="en-US"/>
        </a:p>
      </xdr:txBody>
    </xdr:sp>
    <xdr:clientData/>
  </xdr:twoCellAnchor>
  <xdr:twoCellAnchor editAs="oneCell">
    <xdr:from>
      <xdr:col>130</xdr:col>
      <xdr:colOff>0</xdr:colOff>
      <xdr:row>27</xdr:row>
      <xdr:rowOff>0</xdr:rowOff>
    </xdr:from>
    <xdr:to>
      <xdr:col>130</xdr:col>
      <xdr:colOff>0</xdr:colOff>
      <xdr:row>30</xdr:row>
      <xdr:rowOff>0</xdr:rowOff>
    </xdr:to>
    <xdr:sp macro="" textlink="">
      <xdr:nvSpPr>
        <xdr:cNvPr id="62" name="KPI bar 4.4"/>
        <xdr:cNvSpPr/>
      </xdr:nvSpPr>
      <xdr:spPr>
        <a:xfrm>
          <a:off x="12401550" y="2581275"/>
          <a:ext cx="57150" cy="295275"/>
        </a:xfrm>
        <a:prstGeom prst="rect">
          <a:avLst/>
        </a:prstGeom>
        <a:solidFill>
          <a:srgbClr val="7C3AED"/>
        </a:solidFill>
        <a:ln>
          <a:noFill/>
        </a:ln>
      </xdr:spPr>
      <xdr:txBody>
        <a:bodyPr vertOverflow="clip" horzOverflow="clip" wrap="square" lIns="0" tIns="0" rIns="0" bIns="0" rtlCol="0" anchor="ctr"/>
        <a:lstStyle/>
        <a:p>
          <a:endParaRPr lang="en-US"/>
        </a:p>
      </xdr:txBody>
    </xdr:sp>
    <xdr:clientData/>
  </xdr:twoCellAnchor>
  <xdr:twoCellAnchor editAs="oneCell">
    <xdr:from>
      <xdr:col>131</xdr:col>
      <xdr:colOff>0</xdr:colOff>
      <xdr:row>26</xdr:row>
      <xdr:rowOff>0</xdr:rowOff>
    </xdr:from>
    <xdr:to>
      <xdr:col>131</xdr:col>
      <xdr:colOff>0</xdr:colOff>
      <xdr:row>30</xdr:row>
      <xdr:rowOff>0</xdr:rowOff>
    </xdr:to>
    <xdr:sp macro="" textlink="">
      <xdr:nvSpPr>
        <xdr:cNvPr id="63" name="KPI bar 4.5"/>
        <xdr:cNvSpPr/>
      </xdr:nvSpPr>
      <xdr:spPr>
        <a:xfrm>
          <a:off x="12496800" y="2495550"/>
          <a:ext cx="57150" cy="381000"/>
        </a:xfrm>
        <a:prstGeom prst="rect">
          <a:avLst/>
        </a:prstGeom>
        <a:solidFill>
          <a:srgbClr val="7C3AED"/>
        </a:solidFill>
        <a:ln>
          <a:noFill/>
        </a:ln>
      </xdr:spPr>
      <xdr:txBody>
        <a:bodyPr vertOverflow="clip" horzOverflow="clip" wrap="square" lIns="0" tIns="0" rIns="0" bIns="0" rtlCol="0" anchor="ctr"/>
        <a:lstStyle/>
        <a:p>
          <a:endParaRPr lang="en-US"/>
        </a:p>
      </xdr:txBody>
    </xdr:sp>
    <xdr:clientData/>
  </xdr:twoCellAnchor>
  <xdr:twoCellAnchor editAs="oneCell">
    <xdr:from>
      <xdr:col>134</xdr:col>
      <xdr:colOff>0</xdr:colOff>
      <xdr:row>18</xdr:row>
      <xdr:rowOff>0</xdr:rowOff>
    </xdr:from>
    <xdr:to>
      <xdr:col>167</xdr:col>
      <xdr:colOff>0</xdr:colOff>
      <xdr:row>32</xdr:row>
      <xdr:rowOff>0</xdr:rowOff>
    </xdr:to>
    <xdr:sp macro="" textlink="">
      <xdr:nvSpPr>
        <xdr:cNvPr id="64" name="KPI card 5"/>
        <xdr:cNvSpPr/>
      </xdr:nvSpPr>
      <xdr:spPr>
        <a:xfrm>
          <a:off x="12238973" y="1644041"/>
          <a:ext cx="3014075" cy="1278699"/>
        </a:xfrm>
        <a:prstGeom prst="roundRect">
          <a:avLst>
            <a:gd name="adj" fmla="val 9000"/>
          </a:avLst>
        </a:prstGeom>
        <a:solidFill>
          <a:srgbClr val="FDEEEE"/>
        </a:solidFill>
        <a:ln w="9525">
          <a:solidFill>
            <a:srgbClr val="F5C2C2"/>
          </a:solidFill>
        </a:ln>
        <a:effectLst>
          <a:outerShdw blurRad="76200" dist="19050" dir="5400000" algn="t" rotWithShape="0">
            <a:srgbClr val="1F3B73">
              <a:alpha val="13000"/>
            </a:srgbClr>
          </a:outerShdw>
        </a:effectLst>
      </xdr:spPr>
      <xdr:txBody>
        <a:bodyPr vertOverflow="clip" horzOverflow="clip" wrap="square" lIns="0" tIns="0" rIns="0" bIns="0" rtlCol="0" anchor="ctr"/>
        <a:lstStyle/>
        <a:p>
          <a:endParaRPr lang="en-US"/>
        </a:p>
      </xdr:txBody>
    </xdr:sp>
    <xdr:clientData/>
  </xdr:twoCellAnchor>
  <xdr:twoCellAnchor editAs="oneCell">
    <xdr:from>
      <xdr:col>136</xdr:col>
      <xdr:colOff>0</xdr:colOff>
      <xdr:row>20</xdr:row>
      <xdr:rowOff>0</xdr:rowOff>
    </xdr:from>
    <xdr:to>
      <xdr:col>145</xdr:col>
      <xdr:colOff>0</xdr:colOff>
      <xdr:row>28</xdr:row>
      <xdr:rowOff>0</xdr:rowOff>
    </xdr:to>
    <xdr:sp macro="" textlink="">
      <xdr:nvSpPr>
        <xdr:cNvPr id="65" name="KPI icon 5"/>
        <xdr:cNvSpPr/>
      </xdr:nvSpPr>
      <xdr:spPr>
        <a:xfrm>
          <a:off x="13011150" y="1943100"/>
          <a:ext cx="800100" cy="800100"/>
        </a:xfrm>
        <a:prstGeom prst="roundRect">
          <a:avLst>
            <a:gd name="adj" fmla="val 20000"/>
          </a:avLst>
        </a:prstGeom>
        <a:solidFill>
          <a:srgbClr val="FBD5D5"/>
        </a:solidFill>
        <a:ln w="9525">
          <a:solidFill>
            <a:srgbClr val="F5C2C2"/>
          </a:solidFill>
        </a:ln>
      </xdr:spPr>
      <xdr:txBody>
        <a:bodyPr vertOverflow="clip" horzOverflow="clip" wrap="square" lIns="0" tIns="0" rIns="0" bIns="0" rtlCol="0" anchor="ctr"/>
        <a:lstStyle/>
        <a:p>
          <a:endParaRPr lang="en-US"/>
        </a:p>
      </xdr:txBody>
    </xdr:sp>
    <xdr:clientData/>
  </xdr:twoCellAnchor>
  <xdr:twoCellAnchor editAs="oneCell">
    <xdr:from>
      <xdr:col>136</xdr:col>
      <xdr:colOff>0</xdr:colOff>
      <xdr:row>20</xdr:row>
      <xdr:rowOff>0</xdr:rowOff>
    </xdr:from>
    <xdr:to>
      <xdr:col>145</xdr:col>
      <xdr:colOff>0</xdr:colOff>
      <xdr:row>28</xdr:row>
      <xdr:rowOff>0</xdr:rowOff>
    </xdr:to>
    <xdr:sp macro="" textlink="">
      <xdr:nvSpPr>
        <xdr:cNvPr id="66" name="KPI emoji 5"/>
        <xdr:cNvSpPr/>
      </xdr:nvSpPr>
      <xdr:spPr>
        <a:xfrm>
          <a:off x="13011150" y="1943100"/>
          <a:ext cx="800100" cy="800100"/>
        </a:xfrm>
        <a:prstGeom prst="rect">
          <a:avLst/>
        </a:prstGeom>
        <a:noFill/>
        <a:ln>
          <a:noFill/>
        </a:ln>
      </xdr:spPr>
      <xdr:txBody>
        <a:bodyPr vertOverflow="clip" horzOverflow="clip" wrap="square" lIns="0" tIns="0" rIns="0" bIns="0" rtlCol="0" anchor="ctr"/>
        <a:lstStyle/>
        <a:p>
          <a:pPr algn="ctr"/>
          <a:r>
            <a:rPr lang="en-US" sz="3000" b="0">
              <a:solidFill>
                <a:srgbClr val="E5384A"/>
              </a:solidFill>
              <a:latin typeface="Segoe UI Emoji"/>
              <a:ea typeface="Segoe UI Emoji"/>
              <a:cs typeface="Segoe UI Emoji"/>
            </a:rPr>
            <a:t>✅</a:t>
          </a:r>
        </a:p>
      </xdr:txBody>
    </xdr:sp>
    <xdr:clientData/>
  </xdr:twoCellAnchor>
  <xdr:twoCellAnchor editAs="oneCell">
    <xdr:from>
      <xdr:col>146</xdr:col>
      <xdr:colOff>0</xdr:colOff>
      <xdr:row>20</xdr:row>
      <xdr:rowOff>0</xdr:rowOff>
    </xdr:from>
    <xdr:to>
      <xdr:col>166</xdr:col>
      <xdr:colOff>0</xdr:colOff>
      <xdr:row>22</xdr:row>
      <xdr:rowOff>0</xdr:rowOff>
    </xdr:to>
    <xdr:sp macro="" textlink="">
      <xdr:nvSpPr>
        <xdr:cNvPr id="67" name="KPI label 5"/>
        <xdr:cNvSpPr/>
      </xdr:nvSpPr>
      <xdr:spPr>
        <a:xfrm>
          <a:off x="13982700" y="1905000"/>
          <a:ext cx="1866900" cy="209550"/>
        </a:xfrm>
        <a:prstGeom prst="rect">
          <a:avLst/>
        </a:prstGeom>
        <a:noFill/>
        <a:ln>
          <a:noFill/>
        </a:ln>
      </xdr:spPr>
      <xdr:txBody>
        <a:bodyPr vertOverflow="clip" horzOverflow="clip" wrap="square" lIns="0" tIns="0" rIns="0" bIns="0" rtlCol="0" anchor="ctr"/>
        <a:lstStyle/>
        <a:p>
          <a:pPr algn="l"/>
          <a:r>
            <a:rPr lang="en-US" sz="1100" b="1">
              <a:solidFill>
                <a:srgbClr val="B91C1C"/>
              </a:solidFill>
              <a:latin typeface="Arial"/>
              <a:ea typeface="Arial"/>
              <a:cs typeface="Arial"/>
            </a:rPr>
            <a:t>CONFIRMED BOOKINGS</a:t>
          </a:r>
        </a:p>
      </xdr:txBody>
    </xdr:sp>
    <xdr:clientData/>
  </xdr:twoCellAnchor>
  <xdr:twoCellAnchor editAs="oneCell">
    <xdr:from>
      <xdr:col>146</xdr:col>
      <xdr:colOff>0</xdr:colOff>
      <xdr:row>22</xdr:row>
      <xdr:rowOff>0</xdr:rowOff>
    </xdr:from>
    <xdr:to>
      <xdr:col>166</xdr:col>
      <xdr:colOff>0</xdr:colOff>
      <xdr:row>27</xdr:row>
      <xdr:rowOff>0</xdr:rowOff>
    </xdr:to>
    <xdr:sp macro="" textlink="'Pivot Data'!$U$12">
      <xdr:nvSpPr>
        <xdr:cNvPr id="68" name="KPI value 5"/>
        <xdr:cNvSpPr/>
      </xdr:nvSpPr>
      <xdr:spPr>
        <a:xfrm>
          <a:off x="13982700" y="2133600"/>
          <a:ext cx="1866900" cy="476250"/>
        </a:xfrm>
        <a:prstGeom prst="rect">
          <a:avLst/>
        </a:prstGeom>
        <a:noFill/>
        <a:ln>
          <a:noFill/>
        </a:ln>
      </xdr:spPr>
      <xdr:txBody>
        <a:bodyPr vertOverflow="clip" horzOverflow="clip" wrap="square" lIns="0" tIns="0" rIns="0" bIns="0" rtlCol="0" anchor="ctr"/>
        <a:lstStyle/>
        <a:p>
          <a:pPr algn="l"/>
          <a:fld id="{DB803FD6-FBD8-4CF0-8563-425E6AA5C5E8}" type="TxLink">
            <a:rPr lang="en-US" sz="3400" b="1">
              <a:solidFill>
                <a:srgbClr val="0B1F4D"/>
              </a:solidFill>
              <a:latin typeface="Arial"/>
              <a:cs typeface="Arial"/>
            </a:rPr>
            <a:pPr algn="l"/>
            <a:t>153</a:t>
          </a:fld>
          <a:endParaRPr lang="en-US" sz="3400" b="1">
            <a:solidFill>
              <a:srgbClr val="0B1F4D"/>
            </a:solidFill>
            <a:latin typeface="Arial"/>
            <a:cs typeface="Arial"/>
          </a:endParaRPr>
        </a:p>
      </xdr:txBody>
    </xdr:sp>
    <xdr:clientData/>
  </xdr:twoCellAnchor>
  <xdr:twoCellAnchor editAs="oneCell">
    <xdr:from>
      <xdr:col>146</xdr:col>
      <xdr:colOff>0</xdr:colOff>
      <xdr:row>27</xdr:row>
      <xdr:rowOff>0</xdr:rowOff>
    </xdr:from>
    <xdr:to>
      <xdr:col>160</xdr:col>
      <xdr:colOff>0</xdr:colOff>
      <xdr:row>30</xdr:row>
      <xdr:rowOff>0</xdr:rowOff>
    </xdr:to>
    <xdr:sp macro="" textlink="">
      <xdr:nvSpPr>
        <xdr:cNvPr id="69" name="KPI sub 5"/>
        <xdr:cNvSpPr/>
      </xdr:nvSpPr>
      <xdr:spPr>
        <a:xfrm>
          <a:off x="13982700" y="2647950"/>
          <a:ext cx="1333500" cy="209550"/>
        </a:xfrm>
        <a:prstGeom prst="rect">
          <a:avLst/>
        </a:prstGeom>
        <a:noFill/>
        <a:ln>
          <a:noFill/>
        </a:ln>
      </xdr:spPr>
      <xdr:txBody>
        <a:bodyPr vertOverflow="clip" horzOverflow="clip" wrap="square" lIns="0" tIns="0" rIns="0" bIns="0" rtlCol="0" anchor="ctr"/>
        <a:lstStyle/>
        <a:p>
          <a:pPr algn="l"/>
          <a:r>
            <a:rPr lang="en-US" sz="900" b="0">
              <a:solidFill>
                <a:srgbClr val="0B1F4D"/>
              </a:solidFill>
              <a:latin typeface="Arial"/>
              <a:ea typeface="Arial"/>
              <a:cs typeface="Arial"/>
            </a:rPr>
            <a:t>Count of Booking ID</a:t>
          </a:r>
        </a:p>
      </xdr:txBody>
    </xdr:sp>
    <xdr:clientData/>
  </xdr:twoCellAnchor>
  <xdr:twoCellAnchor editAs="oneCell">
    <xdr:from>
      <xdr:col>160</xdr:col>
      <xdr:colOff>0</xdr:colOff>
      <xdr:row>29</xdr:row>
      <xdr:rowOff>0</xdr:rowOff>
    </xdr:from>
    <xdr:to>
      <xdr:col>161</xdr:col>
      <xdr:colOff>0</xdr:colOff>
      <xdr:row>30</xdr:row>
      <xdr:rowOff>0</xdr:rowOff>
    </xdr:to>
    <xdr:sp macro="" textlink="">
      <xdr:nvSpPr>
        <xdr:cNvPr id="70" name="KPI bar 5.1"/>
        <xdr:cNvSpPr/>
      </xdr:nvSpPr>
      <xdr:spPr>
        <a:xfrm>
          <a:off x="15297150" y="2781300"/>
          <a:ext cx="57150" cy="95250"/>
        </a:xfrm>
        <a:prstGeom prst="rect">
          <a:avLst/>
        </a:prstGeom>
        <a:solidFill>
          <a:srgbClr val="E5384A"/>
        </a:solidFill>
        <a:ln>
          <a:noFill/>
        </a:ln>
      </xdr:spPr>
      <xdr:txBody>
        <a:bodyPr vertOverflow="clip" horzOverflow="clip" wrap="square" lIns="0" tIns="0" rIns="0" bIns="0" rtlCol="0" anchor="ctr"/>
        <a:lstStyle/>
        <a:p>
          <a:endParaRPr lang="en-US"/>
        </a:p>
      </xdr:txBody>
    </xdr:sp>
    <xdr:clientData/>
  </xdr:twoCellAnchor>
  <xdr:twoCellAnchor editAs="oneCell">
    <xdr:from>
      <xdr:col>161</xdr:col>
      <xdr:colOff>0</xdr:colOff>
      <xdr:row>28</xdr:row>
      <xdr:rowOff>0</xdr:rowOff>
    </xdr:from>
    <xdr:to>
      <xdr:col>162</xdr:col>
      <xdr:colOff>0</xdr:colOff>
      <xdr:row>30</xdr:row>
      <xdr:rowOff>0</xdr:rowOff>
    </xdr:to>
    <xdr:sp macro="" textlink="">
      <xdr:nvSpPr>
        <xdr:cNvPr id="71" name="KPI bar 5.2"/>
        <xdr:cNvSpPr/>
      </xdr:nvSpPr>
      <xdr:spPr>
        <a:xfrm>
          <a:off x="15392400" y="2724150"/>
          <a:ext cx="57150" cy="152400"/>
        </a:xfrm>
        <a:prstGeom prst="rect">
          <a:avLst/>
        </a:prstGeom>
        <a:solidFill>
          <a:srgbClr val="E5384A"/>
        </a:solidFill>
        <a:ln>
          <a:noFill/>
        </a:ln>
      </xdr:spPr>
      <xdr:txBody>
        <a:bodyPr vertOverflow="clip" horzOverflow="clip" wrap="square" lIns="0" tIns="0" rIns="0" bIns="0" rtlCol="0" anchor="ctr"/>
        <a:lstStyle/>
        <a:p>
          <a:endParaRPr lang="en-US"/>
        </a:p>
      </xdr:txBody>
    </xdr:sp>
    <xdr:clientData/>
  </xdr:twoCellAnchor>
  <xdr:twoCellAnchor editAs="oneCell">
    <xdr:from>
      <xdr:col>162</xdr:col>
      <xdr:colOff>0</xdr:colOff>
      <xdr:row>27</xdr:row>
      <xdr:rowOff>0</xdr:rowOff>
    </xdr:from>
    <xdr:to>
      <xdr:col>163</xdr:col>
      <xdr:colOff>0</xdr:colOff>
      <xdr:row>30</xdr:row>
      <xdr:rowOff>0</xdr:rowOff>
    </xdr:to>
    <xdr:sp macro="" textlink="">
      <xdr:nvSpPr>
        <xdr:cNvPr id="72" name="KPI bar 5.3"/>
        <xdr:cNvSpPr/>
      </xdr:nvSpPr>
      <xdr:spPr>
        <a:xfrm>
          <a:off x="15487650" y="2657475"/>
          <a:ext cx="57150" cy="219075"/>
        </a:xfrm>
        <a:prstGeom prst="rect">
          <a:avLst/>
        </a:prstGeom>
        <a:solidFill>
          <a:srgbClr val="E5384A"/>
        </a:solidFill>
        <a:ln>
          <a:noFill/>
        </a:ln>
      </xdr:spPr>
      <xdr:txBody>
        <a:bodyPr vertOverflow="clip" horzOverflow="clip" wrap="square" lIns="0" tIns="0" rIns="0" bIns="0" rtlCol="0" anchor="ctr"/>
        <a:lstStyle/>
        <a:p>
          <a:endParaRPr lang="en-US"/>
        </a:p>
      </xdr:txBody>
    </xdr:sp>
    <xdr:clientData/>
  </xdr:twoCellAnchor>
  <xdr:twoCellAnchor editAs="oneCell">
    <xdr:from>
      <xdr:col>163</xdr:col>
      <xdr:colOff>0</xdr:colOff>
      <xdr:row>27</xdr:row>
      <xdr:rowOff>0</xdr:rowOff>
    </xdr:from>
    <xdr:to>
      <xdr:col>164</xdr:col>
      <xdr:colOff>0</xdr:colOff>
      <xdr:row>30</xdr:row>
      <xdr:rowOff>0</xdr:rowOff>
    </xdr:to>
    <xdr:sp macro="" textlink="">
      <xdr:nvSpPr>
        <xdr:cNvPr id="73" name="KPI bar 5.4"/>
        <xdr:cNvSpPr/>
      </xdr:nvSpPr>
      <xdr:spPr>
        <a:xfrm>
          <a:off x="15582900" y="2581275"/>
          <a:ext cx="57150" cy="295275"/>
        </a:xfrm>
        <a:prstGeom prst="rect">
          <a:avLst/>
        </a:prstGeom>
        <a:solidFill>
          <a:srgbClr val="E5384A"/>
        </a:solidFill>
        <a:ln>
          <a:noFill/>
        </a:ln>
      </xdr:spPr>
      <xdr:txBody>
        <a:bodyPr vertOverflow="clip" horzOverflow="clip" wrap="square" lIns="0" tIns="0" rIns="0" bIns="0" rtlCol="0" anchor="ctr"/>
        <a:lstStyle/>
        <a:p>
          <a:endParaRPr lang="en-US"/>
        </a:p>
      </xdr:txBody>
    </xdr:sp>
    <xdr:clientData/>
  </xdr:twoCellAnchor>
  <xdr:twoCellAnchor editAs="oneCell">
    <xdr:from>
      <xdr:col>164</xdr:col>
      <xdr:colOff>0</xdr:colOff>
      <xdr:row>26</xdr:row>
      <xdr:rowOff>0</xdr:rowOff>
    </xdr:from>
    <xdr:to>
      <xdr:col>165</xdr:col>
      <xdr:colOff>0</xdr:colOff>
      <xdr:row>30</xdr:row>
      <xdr:rowOff>0</xdr:rowOff>
    </xdr:to>
    <xdr:sp macro="" textlink="">
      <xdr:nvSpPr>
        <xdr:cNvPr id="74" name="KPI bar 5.5"/>
        <xdr:cNvSpPr/>
      </xdr:nvSpPr>
      <xdr:spPr>
        <a:xfrm>
          <a:off x="15678150" y="2495550"/>
          <a:ext cx="57150" cy="381000"/>
        </a:xfrm>
        <a:prstGeom prst="rect">
          <a:avLst/>
        </a:prstGeom>
        <a:solidFill>
          <a:srgbClr val="E5384A"/>
        </a:solidFill>
        <a:ln>
          <a:noFill/>
        </a:ln>
      </xdr:spPr>
      <xdr:txBody>
        <a:bodyPr vertOverflow="clip" horzOverflow="clip" wrap="square" lIns="0" tIns="0" rIns="0" bIns="0" rtlCol="0" anchor="ctr"/>
        <a:lstStyle/>
        <a:p>
          <a:endParaRPr lang="en-US"/>
        </a:p>
      </xdr:txBody>
    </xdr:sp>
    <xdr:clientData/>
  </xdr:twoCellAnchor>
  <xdr:twoCellAnchor editAs="oneCell">
    <xdr:from>
      <xdr:col>1</xdr:col>
      <xdr:colOff>0</xdr:colOff>
      <xdr:row>33</xdr:row>
      <xdr:rowOff>0</xdr:rowOff>
    </xdr:from>
    <xdr:to>
      <xdr:col>59</xdr:col>
      <xdr:colOff>0</xdr:colOff>
      <xdr:row>62</xdr:row>
      <xdr:rowOff>0</xdr:rowOff>
    </xdr:to>
    <xdr:sp macro="" textlink="">
      <xdr:nvSpPr>
        <xdr:cNvPr id="75" name="Card 1"/>
        <xdr:cNvSpPr/>
      </xdr:nvSpPr>
      <xdr:spPr>
        <a:xfrm>
          <a:off x="95250" y="3143250"/>
          <a:ext cx="5524500" cy="2762250"/>
        </a:xfrm>
        <a:prstGeom prst="roundRect">
          <a:avLst>
            <a:gd name="adj" fmla="val 3500"/>
          </a:avLst>
        </a:prstGeom>
        <a:solidFill>
          <a:srgbClr val="FFFFFF"/>
        </a:solidFill>
        <a:ln w="9525">
          <a:solidFill>
            <a:srgbClr val="DCE6F5"/>
          </a:solidFill>
        </a:ln>
        <a:effectLst>
          <a:outerShdw blurRad="76200" dist="19050" dir="5400000" algn="t" rotWithShape="0">
            <a:srgbClr val="1F3B73">
              <a:alpha val="13000"/>
            </a:srgbClr>
          </a:outerShdw>
        </a:effectLst>
      </xdr:spPr>
      <xdr:txBody>
        <a:bodyPr vertOverflow="clip" horzOverflow="clip" wrap="square" lIns="0" tIns="0" rIns="0" bIns="0" rtlCol="0" anchor="ctr"/>
        <a:lstStyle/>
        <a:p>
          <a:endParaRPr lang="en-US"/>
        </a:p>
      </xdr:txBody>
    </xdr:sp>
    <xdr:clientData/>
  </xdr:twoCellAnchor>
  <xdr:twoCellAnchor editAs="oneCell">
    <xdr:from>
      <xdr:col>2</xdr:col>
      <xdr:colOff>0</xdr:colOff>
      <xdr:row>34</xdr:row>
      <xdr:rowOff>0</xdr:rowOff>
    </xdr:from>
    <xdr:to>
      <xdr:col>5</xdr:col>
      <xdr:colOff>0</xdr:colOff>
      <xdr:row>37</xdr:row>
      <xdr:rowOff>0</xdr:rowOff>
    </xdr:to>
    <xdr:sp macro="" textlink="">
      <xdr:nvSpPr>
        <xdr:cNvPr id="76" name="Card icon 1"/>
        <xdr:cNvSpPr/>
      </xdr:nvSpPr>
      <xdr:spPr>
        <a:xfrm>
          <a:off x="228600" y="3257550"/>
          <a:ext cx="323850" cy="323850"/>
        </a:xfrm>
        <a:prstGeom prst="rect">
          <a:avLst/>
        </a:prstGeom>
        <a:noFill/>
        <a:ln>
          <a:noFill/>
        </a:ln>
      </xdr:spPr>
      <xdr:txBody>
        <a:bodyPr vertOverflow="clip" horzOverflow="clip" wrap="square" lIns="0" tIns="0" rIns="0" bIns="0" rtlCol="0" anchor="ctr"/>
        <a:lstStyle/>
        <a:p>
          <a:pPr algn="ctr"/>
          <a:r>
            <a:rPr lang="en-US" sz="1800" b="0">
              <a:solidFill>
                <a:srgbClr val="1747D6"/>
              </a:solidFill>
              <a:latin typeface="Segoe UI Emoji"/>
              <a:ea typeface="Segoe UI Emoji"/>
              <a:cs typeface="Segoe UI Emoji"/>
            </a:rPr>
            <a:t>📊</a:t>
          </a:r>
        </a:p>
      </xdr:txBody>
    </xdr:sp>
    <xdr:clientData/>
  </xdr:twoCellAnchor>
  <xdr:twoCellAnchor editAs="oneCell">
    <xdr:from>
      <xdr:col>6</xdr:col>
      <xdr:colOff>0</xdr:colOff>
      <xdr:row>34</xdr:row>
      <xdr:rowOff>0</xdr:rowOff>
    </xdr:from>
    <xdr:to>
      <xdr:col>57</xdr:col>
      <xdr:colOff>0</xdr:colOff>
      <xdr:row>36</xdr:row>
      <xdr:rowOff>0</xdr:rowOff>
    </xdr:to>
    <xdr:sp macro="" textlink="">
      <xdr:nvSpPr>
        <xdr:cNvPr id="77" name="Card title 1"/>
        <xdr:cNvSpPr/>
      </xdr:nvSpPr>
      <xdr:spPr>
        <a:xfrm>
          <a:off x="628650" y="3238500"/>
          <a:ext cx="4857750" cy="228600"/>
        </a:xfrm>
        <a:prstGeom prst="rect">
          <a:avLst/>
        </a:prstGeom>
        <a:noFill/>
        <a:ln>
          <a:noFill/>
        </a:ln>
      </xdr:spPr>
      <xdr:txBody>
        <a:bodyPr vertOverflow="clip" horzOverflow="clip" wrap="square" lIns="0" tIns="0" rIns="0" bIns="0" rtlCol="0" anchor="ctr"/>
        <a:lstStyle/>
        <a:p>
          <a:pPr algn="l"/>
          <a:r>
            <a:rPr lang="en-US" sz="1300" b="1">
              <a:solidFill>
                <a:srgbClr val="0B1F4D"/>
              </a:solidFill>
              <a:latin typeface="Arial"/>
              <a:ea typeface="Arial"/>
              <a:cs typeface="Arial"/>
            </a:rPr>
            <a:t>Revenue by Destination</a:t>
          </a:r>
        </a:p>
      </xdr:txBody>
    </xdr:sp>
    <xdr:clientData/>
  </xdr:twoCellAnchor>
  <xdr:twoCellAnchor editAs="oneCell">
    <xdr:from>
      <xdr:col>6</xdr:col>
      <xdr:colOff>0</xdr:colOff>
      <xdr:row>36</xdr:row>
      <xdr:rowOff>0</xdr:rowOff>
    </xdr:from>
    <xdr:to>
      <xdr:col>57</xdr:col>
      <xdr:colOff>0</xdr:colOff>
      <xdr:row>38</xdr:row>
      <xdr:rowOff>0</xdr:rowOff>
    </xdr:to>
    <xdr:sp macro="" textlink="">
      <xdr:nvSpPr>
        <xdr:cNvPr id="78" name="Card subtitle 1"/>
        <xdr:cNvSpPr/>
      </xdr:nvSpPr>
      <xdr:spPr>
        <a:xfrm>
          <a:off x="628650" y="3467100"/>
          <a:ext cx="4857750" cy="171450"/>
        </a:xfrm>
        <a:prstGeom prst="rect">
          <a:avLst/>
        </a:prstGeom>
        <a:noFill/>
        <a:ln>
          <a:noFill/>
        </a:ln>
      </xdr:spPr>
      <xdr:txBody>
        <a:bodyPr vertOverflow="clip" horzOverflow="clip" wrap="square" lIns="0" tIns="0" rIns="0" bIns="0" rtlCol="0" anchor="ctr"/>
        <a:lstStyle/>
        <a:p>
          <a:pPr algn="l"/>
          <a:r>
            <a:rPr lang="en-US" sz="1000" b="0">
              <a:solidFill>
                <a:srgbClr val="5B6B85"/>
              </a:solidFill>
              <a:latin typeface="Arial"/>
              <a:ea typeface="Arial"/>
              <a:cs typeface="Arial"/>
            </a:rPr>
            <a:t>Sum of Revenue by Destination</a:t>
          </a:r>
        </a:p>
      </xdr:txBody>
    </xdr:sp>
    <xdr:clientData/>
  </xdr:twoCellAnchor>
  <xdr:twoCellAnchor editAs="oneCell">
    <xdr:from>
      <xdr:col>60</xdr:col>
      <xdr:colOff>0</xdr:colOff>
      <xdr:row>33</xdr:row>
      <xdr:rowOff>0</xdr:rowOff>
    </xdr:from>
    <xdr:to>
      <xdr:col>114</xdr:col>
      <xdr:colOff>0</xdr:colOff>
      <xdr:row>62</xdr:row>
      <xdr:rowOff>0</xdr:rowOff>
    </xdr:to>
    <xdr:sp macro="" textlink="">
      <xdr:nvSpPr>
        <xdr:cNvPr id="79" name="Card 2"/>
        <xdr:cNvSpPr/>
      </xdr:nvSpPr>
      <xdr:spPr>
        <a:xfrm>
          <a:off x="5715000" y="3143250"/>
          <a:ext cx="5143500" cy="2762250"/>
        </a:xfrm>
        <a:prstGeom prst="roundRect">
          <a:avLst>
            <a:gd name="adj" fmla="val 3500"/>
          </a:avLst>
        </a:prstGeom>
        <a:solidFill>
          <a:srgbClr val="FFFFFF"/>
        </a:solidFill>
        <a:ln w="9525">
          <a:solidFill>
            <a:srgbClr val="DCE6F5"/>
          </a:solidFill>
        </a:ln>
        <a:effectLst>
          <a:outerShdw blurRad="76200" dist="19050" dir="5400000" algn="t" rotWithShape="0">
            <a:srgbClr val="1F3B73">
              <a:alpha val="13000"/>
            </a:srgbClr>
          </a:outerShdw>
        </a:effectLst>
      </xdr:spPr>
      <xdr:txBody>
        <a:bodyPr vertOverflow="clip" horzOverflow="clip" wrap="square" lIns="0" tIns="0" rIns="0" bIns="0" rtlCol="0" anchor="ctr"/>
        <a:lstStyle/>
        <a:p>
          <a:endParaRPr lang="en-US"/>
        </a:p>
      </xdr:txBody>
    </xdr:sp>
    <xdr:clientData/>
  </xdr:twoCellAnchor>
  <xdr:twoCellAnchor editAs="oneCell">
    <xdr:from>
      <xdr:col>61</xdr:col>
      <xdr:colOff>0</xdr:colOff>
      <xdr:row>34</xdr:row>
      <xdr:rowOff>0</xdr:rowOff>
    </xdr:from>
    <xdr:to>
      <xdr:col>64</xdr:col>
      <xdr:colOff>0</xdr:colOff>
      <xdr:row>37</xdr:row>
      <xdr:rowOff>0</xdr:rowOff>
    </xdr:to>
    <xdr:sp macro="" textlink="">
      <xdr:nvSpPr>
        <xdr:cNvPr id="80" name="Card icon 2"/>
        <xdr:cNvSpPr/>
      </xdr:nvSpPr>
      <xdr:spPr>
        <a:xfrm>
          <a:off x="5848350" y="3257550"/>
          <a:ext cx="323850" cy="323850"/>
        </a:xfrm>
        <a:prstGeom prst="rect">
          <a:avLst/>
        </a:prstGeom>
        <a:noFill/>
        <a:ln>
          <a:noFill/>
        </a:ln>
      </xdr:spPr>
      <xdr:txBody>
        <a:bodyPr vertOverflow="clip" horzOverflow="clip" wrap="square" lIns="0" tIns="0" rIns="0" bIns="0" rtlCol="0" anchor="ctr"/>
        <a:lstStyle/>
        <a:p>
          <a:pPr algn="ctr"/>
          <a:r>
            <a:rPr lang="en-US" sz="1800" b="0">
              <a:solidFill>
                <a:srgbClr val="1747D6"/>
              </a:solidFill>
              <a:latin typeface="Segoe UI Emoji"/>
              <a:ea typeface="Segoe UI Emoji"/>
              <a:cs typeface="Segoe UI Emoji"/>
            </a:rPr>
            <a:t>🧳</a:t>
          </a:r>
        </a:p>
      </xdr:txBody>
    </xdr:sp>
    <xdr:clientData/>
  </xdr:twoCellAnchor>
  <xdr:twoCellAnchor editAs="oneCell">
    <xdr:from>
      <xdr:col>65</xdr:col>
      <xdr:colOff>0</xdr:colOff>
      <xdr:row>34</xdr:row>
      <xdr:rowOff>0</xdr:rowOff>
    </xdr:from>
    <xdr:to>
      <xdr:col>112</xdr:col>
      <xdr:colOff>0</xdr:colOff>
      <xdr:row>36</xdr:row>
      <xdr:rowOff>0</xdr:rowOff>
    </xdr:to>
    <xdr:sp macro="" textlink="">
      <xdr:nvSpPr>
        <xdr:cNvPr id="81" name="Card title 2"/>
        <xdr:cNvSpPr/>
      </xdr:nvSpPr>
      <xdr:spPr>
        <a:xfrm>
          <a:off x="6248400" y="3238500"/>
          <a:ext cx="4476750" cy="228600"/>
        </a:xfrm>
        <a:prstGeom prst="rect">
          <a:avLst/>
        </a:prstGeom>
        <a:noFill/>
        <a:ln>
          <a:noFill/>
        </a:ln>
      </xdr:spPr>
      <xdr:txBody>
        <a:bodyPr vertOverflow="clip" horzOverflow="clip" wrap="square" lIns="0" tIns="0" rIns="0" bIns="0" rtlCol="0" anchor="ctr"/>
        <a:lstStyle/>
        <a:p>
          <a:pPr algn="l"/>
          <a:r>
            <a:rPr lang="en-US" sz="1300" b="1">
              <a:solidFill>
                <a:srgbClr val="0B1F4D"/>
              </a:solidFill>
              <a:latin typeface="Arial"/>
              <a:ea typeface="Arial"/>
              <a:cs typeface="Arial"/>
            </a:rPr>
            <a:t>Bookings by Package Type</a:t>
          </a:r>
        </a:p>
      </xdr:txBody>
    </xdr:sp>
    <xdr:clientData/>
  </xdr:twoCellAnchor>
  <xdr:twoCellAnchor editAs="oneCell">
    <xdr:from>
      <xdr:col>65</xdr:col>
      <xdr:colOff>0</xdr:colOff>
      <xdr:row>36</xdr:row>
      <xdr:rowOff>0</xdr:rowOff>
    </xdr:from>
    <xdr:to>
      <xdr:col>112</xdr:col>
      <xdr:colOff>0</xdr:colOff>
      <xdr:row>38</xdr:row>
      <xdr:rowOff>0</xdr:rowOff>
    </xdr:to>
    <xdr:sp macro="" textlink="">
      <xdr:nvSpPr>
        <xdr:cNvPr id="82" name="Card subtitle 2"/>
        <xdr:cNvSpPr/>
      </xdr:nvSpPr>
      <xdr:spPr>
        <a:xfrm>
          <a:off x="6248400" y="3467100"/>
          <a:ext cx="4476750" cy="171450"/>
        </a:xfrm>
        <a:prstGeom prst="rect">
          <a:avLst/>
        </a:prstGeom>
        <a:noFill/>
        <a:ln>
          <a:noFill/>
        </a:ln>
      </xdr:spPr>
      <xdr:txBody>
        <a:bodyPr vertOverflow="clip" horzOverflow="clip" wrap="square" lIns="0" tIns="0" rIns="0" bIns="0" rtlCol="0" anchor="ctr"/>
        <a:lstStyle/>
        <a:p>
          <a:pPr algn="l"/>
          <a:r>
            <a:rPr lang="en-US" sz="1000" b="0">
              <a:solidFill>
                <a:srgbClr val="5B6B85"/>
              </a:solidFill>
              <a:latin typeface="Arial"/>
              <a:ea typeface="Arial"/>
              <a:cs typeface="Arial"/>
            </a:rPr>
            <a:t>Count of Booking ID by Package Type</a:t>
          </a:r>
        </a:p>
      </xdr:txBody>
    </xdr:sp>
    <xdr:clientData/>
  </xdr:twoCellAnchor>
  <xdr:twoCellAnchor editAs="oneCell">
    <xdr:from>
      <xdr:col>115</xdr:col>
      <xdr:colOff>0</xdr:colOff>
      <xdr:row>33</xdr:row>
      <xdr:rowOff>0</xdr:rowOff>
    </xdr:from>
    <xdr:to>
      <xdr:col>167</xdr:col>
      <xdr:colOff>0</xdr:colOff>
      <xdr:row>62</xdr:row>
      <xdr:rowOff>0</xdr:rowOff>
    </xdr:to>
    <xdr:sp macro="" textlink="">
      <xdr:nvSpPr>
        <xdr:cNvPr id="83" name="Card 3"/>
        <xdr:cNvSpPr/>
      </xdr:nvSpPr>
      <xdr:spPr>
        <a:xfrm>
          <a:off x="10953750" y="3143250"/>
          <a:ext cx="4953000" cy="2762250"/>
        </a:xfrm>
        <a:prstGeom prst="roundRect">
          <a:avLst>
            <a:gd name="adj" fmla="val 3500"/>
          </a:avLst>
        </a:prstGeom>
        <a:solidFill>
          <a:srgbClr val="FFFFFF"/>
        </a:solidFill>
        <a:ln w="9525">
          <a:solidFill>
            <a:srgbClr val="DCE6F5"/>
          </a:solidFill>
        </a:ln>
        <a:effectLst>
          <a:outerShdw blurRad="76200" dist="19050" dir="5400000" algn="t" rotWithShape="0">
            <a:srgbClr val="1F3B73">
              <a:alpha val="13000"/>
            </a:srgbClr>
          </a:outerShdw>
        </a:effectLst>
      </xdr:spPr>
      <xdr:txBody>
        <a:bodyPr vertOverflow="clip" horzOverflow="clip" wrap="square" lIns="0" tIns="0" rIns="0" bIns="0" rtlCol="0" anchor="ctr"/>
        <a:lstStyle/>
        <a:p>
          <a:endParaRPr lang="en-US"/>
        </a:p>
      </xdr:txBody>
    </xdr:sp>
    <xdr:clientData/>
  </xdr:twoCellAnchor>
  <xdr:twoCellAnchor editAs="oneCell">
    <xdr:from>
      <xdr:col>116</xdr:col>
      <xdr:colOff>0</xdr:colOff>
      <xdr:row>34</xdr:row>
      <xdr:rowOff>0</xdr:rowOff>
    </xdr:from>
    <xdr:to>
      <xdr:col>119</xdr:col>
      <xdr:colOff>0</xdr:colOff>
      <xdr:row>37</xdr:row>
      <xdr:rowOff>0</xdr:rowOff>
    </xdr:to>
    <xdr:sp macro="" textlink="">
      <xdr:nvSpPr>
        <xdr:cNvPr id="84" name="Card icon 3"/>
        <xdr:cNvSpPr/>
      </xdr:nvSpPr>
      <xdr:spPr>
        <a:xfrm>
          <a:off x="11087100" y="3257550"/>
          <a:ext cx="323850" cy="323850"/>
        </a:xfrm>
        <a:prstGeom prst="rect">
          <a:avLst/>
        </a:prstGeom>
        <a:noFill/>
        <a:ln>
          <a:noFill/>
        </a:ln>
      </xdr:spPr>
      <xdr:txBody>
        <a:bodyPr vertOverflow="clip" horzOverflow="clip" wrap="square" lIns="0" tIns="0" rIns="0" bIns="0" rtlCol="0" anchor="ctr"/>
        <a:lstStyle/>
        <a:p>
          <a:pPr algn="ctr"/>
          <a:r>
            <a:rPr lang="en-US" sz="1800" b="0">
              <a:solidFill>
                <a:srgbClr val="1747D6"/>
              </a:solidFill>
              <a:latin typeface="Segoe UI Emoji"/>
              <a:ea typeface="Segoe UI Emoji"/>
              <a:cs typeface="Segoe UI Emoji"/>
            </a:rPr>
            <a:t>🍩</a:t>
          </a:r>
        </a:p>
      </xdr:txBody>
    </xdr:sp>
    <xdr:clientData/>
  </xdr:twoCellAnchor>
  <xdr:twoCellAnchor editAs="oneCell">
    <xdr:from>
      <xdr:col>120</xdr:col>
      <xdr:colOff>0</xdr:colOff>
      <xdr:row>34</xdr:row>
      <xdr:rowOff>0</xdr:rowOff>
    </xdr:from>
    <xdr:to>
      <xdr:col>165</xdr:col>
      <xdr:colOff>0</xdr:colOff>
      <xdr:row>36</xdr:row>
      <xdr:rowOff>0</xdr:rowOff>
    </xdr:to>
    <xdr:sp macro="" textlink="">
      <xdr:nvSpPr>
        <xdr:cNvPr id="85" name="Card title 3"/>
        <xdr:cNvSpPr/>
      </xdr:nvSpPr>
      <xdr:spPr>
        <a:xfrm>
          <a:off x="11487150" y="3238500"/>
          <a:ext cx="4286250" cy="228600"/>
        </a:xfrm>
        <a:prstGeom prst="rect">
          <a:avLst/>
        </a:prstGeom>
        <a:noFill/>
        <a:ln>
          <a:noFill/>
        </a:ln>
      </xdr:spPr>
      <xdr:txBody>
        <a:bodyPr vertOverflow="clip" horzOverflow="clip" wrap="square" lIns="0" tIns="0" rIns="0" bIns="0" rtlCol="0" anchor="ctr"/>
        <a:lstStyle/>
        <a:p>
          <a:pPr algn="l"/>
          <a:r>
            <a:rPr lang="en-US" sz="1300" b="1">
              <a:solidFill>
                <a:srgbClr val="0B1F4D"/>
              </a:solidFill>
              <a:latin typeface="Arial"/>
              <a:ea typeface="Arial"/>
              <a:cs typeface="Arial"/>
            </a:rPr>
            <a:t>BOOKING STATUS</a:t>
          </a:r>
        </a:p>
      </xdr:txBody>
    </xdr:sp>
    <xdr:clientData/>
  </xdr:twoCellAnchor>
  <xdr:twoCellAnchor editAs="oneCell">
    <xdr:from>
      <xdr:col>120</xdr:col>
      <xdr:colOff>0</xdr:colOff>
      <xdr:row>36</xdr:row>
      <xdr:rowOff>0</xdr:rowOff>
    </xdr:from>
    <xdr:to>
      <xdr:col>165</xdr:col>
      <xdr:colOff>0</xdr:colOff>
      <xdr:row>38</xdr:row>
      <xdr:rowOff>0</xdr:rowOff>
    </xdr:to>
    <xdr:sp macro="" textlink="">
      <xdr:nvSpPr>
        <xdr:cNvPr id="86" name="Card subtitle 3"/>
        <xdr:cNvSpPr/>
      </xdr:nvSpPr>
      <xdr:spPr>
        <a:xfrm>
          <a:off x="11487150" y="3467100"/>
          <a:ext cx="4286250" cy="171450"/>
        </a:xfrm>
        <a:prstGeom prst="rect">
          <a:avLst/>
        </a:prstGeom>
        <a:noFill/>
        <a:ln>
          <a:noFill/>
        </a:ln>
      </xdr:spPr>
      <xdr:txBody>
        <a:bodyPr vertOverflow="clip" horzOverflow="clip" wrap="square" lIns="0" tIns="0" rIns="0" bIns="0" rtlCol="0" anchor="ctr"/>
        <a:lstStyle/>
        <a:p>
          <a:pPr algn="l"/>
          <a:r>
            <a:rPr lang="en-US" sz="1000" b="0">
              <a:solidFill>
                <a:srgbClr val="5B6B85"/>
              </a:solidFill>
              <a:latin typeface="Arial"/>
              <a:ea typeface="Arial"/>
              <a:cs typeface="Arial"/>
            </a:rPr>
            <a:t>Count of Booking ID by Booking Status</a:t>
          </a:r>
        </a:p>
      </xdr:txBody>
    </xdr:sp>
    <xdr:clientData/>
  </xdr:twoCellAnchor>
  <xdr:twoCellAnchor editAs="oneCell">
    <xdr:from>
      <xdr:col>1</xdr:col>
      <xdr:colOff>0</xdr:colOff>
      <xdr:row>63</xdr:row>
      <xdr:rowOff>0</xdr:rowOff>
    </xdr:from>
    <xdr:to>
      <xdr:col>59</xdr:col>
      <xdr:colOff>0</xdr:colOff>
      <xdr:row>92</xdr:row>
      <xdr:rowOff>0</xdr:rowOff>
    </xdr:to>
    <xdr:sp macro="" textlink="">
      <xdr:nvSpPr>
        <xdr:cNvPr id="87" name="Card 4"/>
        <xdr:cNvSpPr/>
      </xdr:nvSpPr>
      <xdr:spPr>
        <a:xfrm>
          <a:off x="95250" y="6000750"/>
          <a:ext cx="5524500" cy="2762250"/>
        </a:xfrm>
        <a:prstGeom prst="roundRect">
          <a:avLst>
            <a:gd name="adj" fmla="val 3500"/>
          </a:avLst>
        </a:prstGeom>
        <a:solidFill>
          <a:srgbClr val="FFFFFF"/>
        </a:solidFill>
        <a:ln w="9525">
          <a:solidFill>
            <a:srgbClr val="DCE6F5"/>
          </a:solidFill>
        </a:ln>
        <a:effectLst>
          <a:outerShdw blurRad="76200" dist="19050" dir="5400000" algn="t" rotWithShape="0">
            <a:srgbClr val="1F3B73">
              <a:alpha val="13000"/>
            </a:srgbClr>
          </a:outerShdw>
        </a:effectLst>
      </xdr:spPr>
      <xdr:txBody>
        <a:bodyPr vertOverflow="clip" horzOverflow="clip" wrap="square" lIns="0" tIns="0" rIns="0" bIns="0" rtlCol="0" anchor="ctr"/>
        <a:lstStyle/>
        <a:p>
          <a:endParaRPr lang="en-US"/>
        </a:p>
      </xdr:txBody>
    </xdr:sp>
    <xdr:clientData/>
  </xdr:twoCellAnchor>
  <xdr:twoCellAnchor editAs="oneCell">
    <xdr:from>
      <xdr:col>2</xdr:col>
      <xdr:colOff>0</xdr:colOff>
      <xdr:row>64</xdr:row>
      <xdr:rowOff>0</xdr:rowOff>
    </xdr:from>
    <xdr:to>
      <xdr:col>5</xdr:col>
      <xdr:colOff>0</xdr:colOff>
      <xdr:row>67</xdr:row>
      <xdr:rowOff>0</xdr:rowOff>
    </xdr:to>
    <xdr:sp macro="" textlink="">
      <xdr:nvSpPr>
        <xdr:cNvPr id="88" name="Card icon 4"/>
        <xdr:cNvSpPr/>
      </xdr:nvSpPr>
      <xdr:spPr>
        <a:xfrm>
          <a:off x="228600" y="6115050"/>
          <a:ext cx="323850" cy="323850"/>
        </a:xfrm>
        <a:prstGeom prst="rect">
          <a:avLst/>
        </a:prstGeom>
        <a:noFill/>
        <a:ln>
          <a:noFill/>
        </a:ln>
      </xdr:spPr>
      <xdr:txBody>
        <a:bodyPr vertOverflow="clip" horzOverflow="clip" wrap="square" lIns="0" tIns="0" rIns="0" bIns="0" rtlCol="0" anchor="ctr"/>
        <a:lstStyle/>
        <a:p>
          <a:pPr algn="ctr"/>
          <a:r>
            <a:rPr lang="en-US" sz="1800" b="0">
              <a:solidFill>
                <a:srgbClr val="1747D6"/>
              </a:solidFill>
              <a:latin typeface="Segoe UI Emoji"/>
              <a:ea typeface="Segoe UI Emoji"/>
              <a:cs typeface="Segoe UI Emoji"/>
            </a:rPr>
            <a:t>📈</a:t>
          </a:r>
        </a:p>
      </xdr:txBody>
    </xdr:sp>
    <xdr:clientData/>
  </xdr:twoCellAnchor>
  <xdr:twoCellAnchor editAs="oneCell">
    <xdr:from>
      <xdr:col>6</xdr:col>
      <xdr:colOff>0</xdr:colOff>
      <xdr:row>64</xdr:row>
      <xdr:rowOff>0</xdr:rowOff>
    </xdr:from>
    <xdr:to>
      <xdr:col>57</xdr:col>
      <xdr:colOff>0</xdr:colOff>
      <xdr:row>66</xdr:row>
      <xdr:rowOff>0</xdr:rowOff>
    </xdr:to>
    <xdr:sp macro="" textlink="">
      <xdr:nvSpPr>
        <xdr:cNvPr id="89" name="Card title 4"/>
        <xdr:cNvSpPr/>
      </xdr:nvSpPr>
      <xdr:spPr>
        <a:xfrm>
          <a:off x="628650" y="6096000"/>
          <a:ext cx="4857750" cy="228600"/>
        </a:xfrm>
        <a:prstGeom prst="rect">
          <a:avLst/>
        </a:prstGeom>
        <a:noFill/>
        <a:ln>
          <a:noFill/>
        </a:ln>
      </xdr:spPr>
      <xdr:txBody>
        <a:bodyPr vertOverflow="clip" horzOverflow="clip" wrap="square" lIns="0" tIns="0" rIns="0" bIns="0" rtlCol="0" anchor="ctr"/>
        <a:lstStyle/>
        <a:p>
          <a:pPr algn="l"/>
          <a:r>
            <a:rPr lang="en-US" sz="1300" b="1">
              <a:solidFill>
                <a:srgbClr val="0B1F4D"/>
              </a:solidFill>
              <a:latin typeface="Arial"/>
              <a:ea typeface="Arial"/>
              <a:cs typeface="Arial"/>
            </a:rPr>
            <a:t>MONTHLY REVENUE &amp; BOOKINGS</a:t>
          </a:r>
        </a:p>
      </xdr:txBody>
    </xdr:sp>
    <xdr:clientData/>
  </xdr:twoCellAnchor>
  <xdr:twoCellAnchor editAs="oneCell">
    <xdr:from>
      <xdr:col>6</xdr:col>
      <xdr:colOff>0</xdr:colOff>
      <xdr:row>66</xdr:row>
      <xdr:rowOff>0</xdr:rowOff>
    </xdr:from>
    <xdr:to>
      <xdr:col>57</xdr:col>
      <xdr:colOff>0</xdr:colOff>
      <xdr:row>68</xdr:row>
      <xdr:rowOff>0</xdr:rowOff>
    </xdr:to>
    <xdr:sp macro="" textlink="">
      <xdr:nvSpPr>
        <xdr:cNvPr id="90" name="Card subtitle 4"/>
        <xdr:cNvSpPr/>
      </xdr:nvSpPr>
      <xdr:spPr>
        <a:xfrm>
          <a:off x="628650" y="6324600"/>
          <a:ext cx="4857750" cy="171450"/>
        </a:xfrm>
        <a:prstGeom prst="rect">
          <a:avLst/>
        </a:prstGeom>
        <a:noFill/>
        <a:ln>
          <a:noFill/>
        </a:ln>
      </xdr:spPr>
      <xdr:txBody>
        <a:bodyPr vertOverflow="clip" horzOverflow="clip" wrap="square" lIns="0" tIns="0" rIns="0" bIns="0" rtlCol="0" anchor="ctr"/>
        <a:lstStyle/>
        <a:p>
          <a:pPr algn="l"/>
          <a:r>
            <a:rPr lang="en-US" sz="1000" b="0">
              <a:solidFill>
                <a:srgbClr val="5B6B85"/>
              </a:solidFill>
              <a:latin typeface="Arial"/>
              <a:ea typeface="Arial"/>
              <a:cs typeface="Arial"/>
            </a:rPr>
            <a:t>Sum of Revenue and Count of Booking ID by Month</a:t>
          </a:r>
        </a:p>
      </xdr:txBody>
    </xdr:sp>
    <xdr:clientData/>
  </xdr:twoCellAnchor>
  <xdr:twoCellAnchor editAs="oneCell">
    <xdr:from>
      <xdr:col>60</xdr:col>
      <xdr:colOff>0</xdr:colOff>
      <xdr:row>63</xdr:row>
      <xdr:rowOff>0</xdr:rowOff>
    </xdr:from>
    <xdr:to>
      <xdr:col>114</xdr:col>
      <xdr:colOff>0</xdr:colOff>
      <xdr:row>92</xdr:row>
      <xdr:rowOff>0</xdr:rowOff>
    </xdr:to>
    <xdr:sp macro="" textlink="">
      <xdr:nvSpPr>
        <xdr:cNvPr id="91" name="Card 5"/>
        <xdr:cNvSpPr/>
      </xdr:nvSpPr>
      <xdr:spPr>
        <a:xfrm>
          <a:off x="5715000" y="6000750"/>
          <a:ext cx="5143500" cy="2762250"/>
        </a:xfrm>
        <a:prstGeom prst="roundRect">
          <a:avLst>
            <a:gd name="adj" fmla="val 3500"/>
          </a:avLst>
        </a:prstGeom>
        <a:solidFill>
          <a:srgbClr val="FFFFFF"/>
        </a:solidFill>
        <a:ln w="9525">
          <a:solidFill>
            <a:srgbClr val="DCE6F5"/>
          </a:solidFill>
        </a:ln>
        <a:effectLst>
          <a:outerShdw blurRad="76200" dist="19050" dir="5400000" algn="t" rotWithShape="0">
            <a:srgbClr val="1F3B73">
              <a:alpha val="13000"/>
            </a:srgbClr>
          </a:outerShdw>
        </a:effectLst>
      </xdr:spPr>
      <xdr:txBody>
        <a:bodyPr vertOverflow="clip" horzOverflow="clip" wrap="square" lIns="0" tIns="0" rIns="0" bIns="0" rtlCol="0" anchor="ctr"/>
        <a:lstStyle/>
        <a:p>
          <a:endParaRPr lang="en-US"/>
        </a:p>
      </xdr:txBody>
    </xdr:sp>
    <xdr:clientData/>
  </xdr:twoCellAnchor>
  <xdr:twoCellAnchor editAs="oneCell">
    <xdr:from>
      <xdr:col>61</xdr:col>
      <xdr:colOff>0</xdr:colOff>
      <xdr:row>64</xdr:row>
      <xdr:rowOff>0</xdr:rowOff>
    </xdr:from>
    <xdr:to>
      <xdr:col>64</xdr:col>
      <xdr:colOff>0</xdr:colOff>
      <xdr:row>67</xdr:row>
      <xdr:rowOff>0</xdr:rowOff>
    </xdr:to>
    <xdr:sp macro="" textlink="">
      <xdr:nvSpPr>
        <xdr:cNvPr id="92" name="Card icon 5"/>
        <xdr:cNvSpPr/>
      </xdr:nvSpPr>
      <xdr:spPr>
        <a:xfrm>
          <a:off x="5848350" y="6115050"/>
          <a:ext cx="323850" cy="323850"/>
        </a:xfrm>
        <a:prstGeom prst="rect">
          <a:avLst/>
        </a:prstGeom>
        <a:noFill/>
        <a:ln>
          <a:noFill/>
        </a:ln>
      </xdr:spPr>
      <xdr:txBody>
        <a:bodyPr vertOverflow="clip" horzOverflow="clip" wrap="square" lIns="0" tIns="0" rIns="0" bIns="0" rtlCol="0" anchor="ctr"/>
        <a:lstStyle/>
        <a:p>
          <a:pPr algn="ctr"/>
          <a:r>
            <a:rPr lang="en-US" sz="1800" b="0">
              <a:solidFill>
                <a:srgbClr val="1747D6"/>
              </a:solidFill>
              <a:latin typeface="Segoe UI Emoji"/>
              <a:ea typeface="Segoe UI Emoji"/>
              <a:cs typeface="Segoe UI Emoji"/>
            </a:rPr>
            <a:t>💳</a:t>
          </a:r>
        </a:p>
      </xdr:txBody>
    </xdr:sp>
    <xdr:clientData/>
  </xdr:twoCellAnchor>
  <xdr:twoCellAnchor editAs="oneCell">
    <xdr:from>
      <xdr:col>65</xdr:col>
      <xdr:colOff>0</xdr:colOff>
      <xdr:row>64</xdr:row>
      <xdr:rowOff>0</xdr:rowOff>
    </xdr:from>
    <xdr:to>
      <xdr:col>112</xdr:col>
      <xdr:colOff>0</xdr:colOff>
      <xdr:row>66</xdr:row>
      <xdr:rowOff>0</xdr:rowOff>
    </xdr:to>
    <xdr:sp macro="" textlink="">
      <xdr:nvSpPr>
        <xdr:cNvPr id="93" name="Card title 5"/>
        <xdr:cNvSpPr/>
      </xdr:nvSpPr>
      <xdr:spPr>
        <a:xfrm>
          <a:off x="6248400" y="6096000"/>
          <a:ext cx="4476750" cy="228600"/>
        </a:xfrm>
        <a:prstGeom prst="rect">
          <a:avLst/>
        </a:prstGeom>
        <a:noFill/>
        <a:ln>
          <a:noFill/>
        </a:ln>
      </xdr:spPr>
      <xdr:txBody>
        <a:bodyPr vertOverflow="clip" horzOverflow="clip" wrap="square" lIns="0" tIns="0" rIns="0" bIns="0" rtlCol="0" anchor="ctr"/>
        <a:lstStyle/>
        <a:p>
          <a:pPr algn="l"/>
          <a:r>
            <a:rPr lang="en-US" sz="1300" b="1">
              <a:solidFill>
                <a:srgbClr val="0B1F4D"/>
              </a:solidFill>
              <a:latin typeface="Arial"/>
              <a:ea typeface="Arial"/>
              <a:cs typeface="Arial"/>
            </a:rPr>
            <a:t>PAYMENT METHOD</a:t>
          </a:r>
        </a:p>
      </xdr:txBody>
    </xdr:sp>
    <xdr:clientData/>
  </xdr:twoCellAnchor>
  <xdr:twoCellAnchor editAs="oneCell">
    <xdr:from>
      <xdr:col>65</xdr:col>
      <xdr:colOff>0</xdr:colOff>
      <xdr:row>66</xdr:row>
      <xdr:rowOff>0</xdr:rowOff>
    </xdr:from>
    <xdr:to>
      <xdr:col>112</xdr:col>
      <xdr:colOff>0</xdr:colOff>
      <xdr:row>68</xdr:row>
      <xdr:rowOff>0</xdr:rowOff>
    </xdr:to>
    <xdr:sp macro="" textlink="">
      <xdr:nvSpPr>
        <xdr:cNvPr id="94" name="Card subtitle 5"/>
        <xdr:cNvSpPr/>
      </xdr:nvSpPr>
      <xdr:spPr>
        <a:xfrm>
          <a:off x="6248400" y="6324600"/>
          <a:ext cx="4476750" cy="171450"/>
        </a:xfrm>
        <a:prstGeom prst="rect">
          <a:avLst/>
        </a:prstGeom>
        <a:noFill/>
        <a:ln>
          <a:noFill/>
        </a:ln>
      </xdr:spPr>
      <xdr:txBody>
        <a:bodyPr vertOverflow="clip" horzOverflow="clip" wrap="square" lIns="0" tIns="0" rIns="0" bIns="0" rtlCol="0" anchor="ctr"/>
        <a:lstStyle/>
        <a:p>
          <a:pPr algn="l"/>
          <a:r>
            <a:rPr lang="en-US" sz="1000" b="0">
              <a:solidFill>
                <a:srgbClr val="5B6B85"/>
              </a:solidFill>
              <a:latin typeface="Arial"/>
              <a:ea typeface="Arial"/>
              <a:cs typeface="Arial"/>
            </a:rPr>
            <a:t>Count of Booking ID by Payment Method</a:t>
          </a:r>
        </a:p>
      </xdr:txBody>
    </xdr:sp>
    <xdr:clientData/>
  </xdr:twoCellAnchor>
  <xdr:twoCellAnchor editAs="oneCell">
    <xdr:from>
      <xdr:col>115</xdr:col>
      <xdr:colOff>0</xdr:colOff>
      <xdr:row>63</xdr:row>
      <xdr:rowOff>0</xdr:rowOff>
    </xdr:from>
    <xdr:to>
      <xdr:col>167</xdr:col>
      <xdr:colOff>0</xdr:colOff>
      <xdr:row>92</xdr:row>
      <xdr:rowOff>0</xdr:rowOff>
    </xdr:to>
    <xdr:sp macro="" textlink="">
      <xdr:nvSpPr>
        <xdr:cNvPr id="95" name="Card 6"/>
        <xdr:cNvSpPr/>
      </xdr:nvSpPr>
      <xdr:spPr>
        <a:xfrm>
          <a:off x="10953750" y="6000750"/>
          <a:ext cx="4953000" cy="2762250"/>
        </a:xfrm>
        <a:prstGeom prst="roundRect">
          <a:avLst>
            <a:gd name="adj" fmla="val 3500"/>
          </a:avLst>
        </a:prstGeom>
        <a:solidFill>
          <a:srgbClr val="FFFFFF"/>
        </a:solidFill>
        <a:ln w="9525">
          <a:solidFill>
            <a:srgbClr val="DCE6F5"/>
          </a:solidFill>
        </a:ln>
        <a:effectLst>
          <a:outerShdw blurRad="76200" dist="19050" dir="5400000" algn="t" rotWithShape="0">
            <a:srgbClr val="1F3B73">
              <a:alpha val="13000"/>
            </a:srgbClr>
          </a:outerShdw>
        </a:effectLst>
      </xdr:spPr>
      <xdr:txBody>
        <a:bodyPr vertOverflow="clip" horzOverflow="clip" wrap="square" lIns="0" tIns="0" rIns="0" bIns="0" rtlCol="0" anchor="ctr"/>
        <a:lstStyle/>
        <a:p>
          <a:endParaRPr lang="en-US"/>
        </a:p>
      </xdr:txBody>
    </xdr:sp>
    <xdr:clientData/>
  </xdr:twoCellAnchor>
  <xdr:twoCellAnchor editAs="oneCell">
    <xdr:from>
      <xdr:col>116</xdr:col>
      <xdr:colOff>0</xdr:colOff>
      <xdr:row>64</xdr:row>
      <xdr:rowOff>0</xdr:rowOff>
    </xdr:from>
    <xdr:to>
      <xdr:col>119</xdr:col>
      <xdr:colOff>0</xdr:colOff>
      <xdr:row>67</xdr:row>
      <xdr:rowOff>0</xdr:rowOff>
    </xdr:to>
    <xdr:sp macro="" textlink="">
      <xdr:nvSpPr>
        <xdr:cNvPr id="96" name="Card icon 6"/>
        <xdr:cNvSpPr/>
      </xdr:nvSpPr>
      <xdr:spPr>
        <a:xfrm>
          <a:off x="11087100" y="6115050"/>
          <a:ext cx="323850" cy="323850"/>
        </a:xfrm>
        <a:prstGeom prst="rect">
          <a:avLst/>
        </a:prstGeom>
        <a:noFill/>
        <a:ln>
          <a:noFill/>
        </a:ln>
      </xdr:spPr>
      <xdr:txBody>
        <a:bodyPr vertOverflow="clip" horzOverflow="clip" wrap="square" lIns="0" tIns="0" rIns="0" bIns="0" rtlCol="0" anchor="ctr"/>
        <a:lstStyle/>
        <a:p>
          <a:pPr algn="ctr"/>
          <a:r>
            <a:rPr lang="en-US" sz="1800" b="0">
              <a:solidFill>
                <a:srgbClr val="1747D6"/>
              </a:solidFill>
              <a:latin typeface="Segoe UI Emoji"/>
              <a:ea typeface="Segoe UI Emoji"/>
              <a:cs typeface="Segoe UI Emoji"/>
            </a:rPr>
            <a:t>👥</a:t>
          </a:r>
        </a:p>
      </xdr:txBody>
    </xdr:sp>
    <xdr:clientData/>
  </xdr:twoCellAnchor>
  <xdr:twoCellAnchor editAs="oneCell">
    <xdr:from>
      <xdr:col>120</xdr:col>
      <xdr:colOff>0</xdr:colOff>
      <xdr:row>64</xdr:row>
      <xdr:rowOff>0</xdr:rowOff>
    </xdr:from>
    <xdr:to>
      <xdr:col>165</xdr:col>
      <xdr:colOff>0</xdr:colOff>
      <xdr:row>66</xdr:row>
      <xdr:rowOff>0</xdr:rowOff>
    </xdr:to>
    <xdr:sp macro="" textlink="">
      <xdr:nvSpPr>
        <xdr:cNvPr id="97" name="Card title 6"/>
        <xdr:cNvSpPr/>
      </xdr:nvSpPr>
      <xdr:spPr>
        <a:xfrm>
          <a:off x="11487150" y="6096000"/>
          <a:ext cx="4286250" cy="228600"/>
        </a:xfrm>
        <a:prstGeom prst="rect">
          <a:avLst/>
        </a:prstGeom>
        <a:noFill/>
        <a:ln>
          <a:noFill/>
        </a:ln>
      </xdr:spPr>
      <xdr:txBody>
        <a:bodyPr vertOverflow="clip" horzOverflow="clip" wrap="square" lIns="0" tIns="0" rIns="0" bIns="0" rtlCol="0" anchor="ctr"/>
        <a:lstStyle/>
        <a:p>
          <a:pPr algn="l"/>
          <a:r>
            <a:rPr lang="en-US" sz="1300" b="1">
              <a:solidFill>
                <a:srgbClr val="0B1F4D"/>
              </a:solidFill>
              <a:latin typeface="Arial"/>
              <a:ea typeface="Arial"/>
              <a:cs typeface="Arial"/>
            </a:rPr>
            <a:t>SALESPERSON PERFORMANCE</a:t>
          </a:r>
        </a:p>
      </xdr:txBody>
    </xdr:sp>
    <xdr:clientData/>
  </xdr:twoCellAnchor>
  <xdr:twoCellAnchor editAs="oneCell">
    <xdr:from>
      <xdr:col>120</xdr:col>
      <xdr:colOff>0</xdr:colOff>
      <xdr:row>66</xdr:row>
      <xdr:rowOff>0</xdr:rowOff>
    </xdr:from>
    <xdr:to>
      <xdr:col>165</xdr:col>
      <xdr:colOff>0</xdr:colOff>
      <xdr:row>68</xdr:row>
      <xdr:rowOff>0</xdr:rowOff>
    </xdr:to>
    <xdr:sp macro="" textlink="">
      <xdr:nvSpPr>
        <xdr:cNvPr id="98" name="Card subtitle 6"/>
        <xdr:cNvSpPr/>
      </xdr:nvSpPr>
      <xdr:spPr>
        <a:xfrm>
          <a:off x="11487150" y="6324600"/>
          <a:ext cx="4286250" cy="171450"/>
        </a:xfrm>
        <a:prstGeom prst="rect">
          <a:avLst/>
        </a:prstGeom>
        <a:noFill/>
        <a:ln>
          <a:noFill/>
        </a:ln>
      </xdr:spPr>
      <xdr:txBody>
        <a:bodyPr vertOverflow="clip" horzOverflow="clip" wrap="square" lIns="0" tIns="0" rIns="0" bIns="0" rtlCol="0" anchor="ctr"/>
        <a:lstStyle/>
        <a:p>
          <a:pPr algn="l"/>
          <a:r>
            <a:rPr lang="en-US" sz="1000" b="0">
              <a:solidFill>
                <a:srgbClr val="5B6B85"/>
              </a:solidFill>
              <a:latin typeface="Arial"/>
              <a:ea typeface="Arial"/>
              <a:cs typeface="Arial"/>
            </a:rPr>
            <a:t>Sum of Revenue by Salesperson</a:t>
          </a:r>
        </a:p>
      </xdr:txBody>
    </xdr:sp>
    <xdr:clientData/>
  </xdr:twoCellAnchor>
  <xdr:twoCellAnchor editAs="oneCell">
    <xdr:from>
      <xdr:col>1</xdr:col>
      <xdr:colOff>0</xdr:colOff>
      <xdr:row>38</xdr:row>
      <xdr:rowOff>0</xdr:rowOff>
    </xdr:from>
    <xdr:to>
      <xdr:col>58</xdr:col>
      <xdr:colOff>0</xdr:colOff>
      <xdr:row>61</xdr:row>
      <xdr:rowOff>0</xdr:rowOff>
    </xdr:to>
    <xdr:graphicFrame macro="">
      <xdr:nvGraphicFramePr>
        <xdr:cNvPr id="9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60</xdr:col>
      <xdr:colOff>0</xdr:colOff>
      <xdr:row>38</xdr:row>
      <xdr:rowOff>0</xdr:rowOff>
    </xdr:from>
    <xdr:to>
      <xdr:col>113</xdr:col>
      <xdr:colOff>0</xdr:colOff>
      <xdr:row>61</xdr:row>
      <xdr:rowOff>0</xdr:rowOff>
    </xdr:to>
    <xdr:graphicFrame macro="">
      <xdr:nvGraphicFramePr>
        <xdr:cNvPr id="10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115</xdr:col>
      <xdr:colOff>0</xdr:colOff>
      <xdr:row>38</xdr:row>
      <xdr:rowOff>0</xdr:rowOff>
    </xdr:from>
    <xdr:to>
      <xdr:col>166</xdr:col>
      <xdr:colOff>0</xdr:colOff>
      <xdr:row>61</xdr:row>
      <xdr:rowOff>0</xdr:rowOff>
    </xdr:to>
    <xdr:graphicFrame macro="">
      <xdr:nvGraphicFramePr>
        <xdr:cNvPr id="10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125</xdr:col>
      <xdr:colOff>0</xdr:colOff>
      <xdr:row>47</xdr:row>
      <xdr:rowOff>0</xdr:rowOff>
    </xdr:from>
    <xdr:to>
      <xdr:col>135</xdr:col>
      <xdr:colOff>0</xdr:colOff>
      <xdr:row>50</xdr:row>
      <xdr:rowOff>0</xdr:rowOff>
    </xdr:to>
    <xdr:sp macro="" textlink="'Pivot Data'!$U$13">
      <xdr:nvSpPr>
        <xdr:cNvPr id="102" name="Donut total 10"/>
        <xdr:cNvSpPr/>
      </xdr:nvSpPr>
      <xdr:spPr>
        <a:xfrm>
          <a:off x="11991975" y="4533900"/>
          <a:ext cx="952500" cy="304800"/>
        </a:xfrm>
        <a:prstGeom prst="rect">
          <a:avLst/>
        </a:prstGeom>
        <a:noFill/>
        <a:ln>
          <a:noFill/>
        </a:ln>
      </xdr:spPr>
      <xdr:txBody>
        <a:bodyPr vertOverflow="clip" horzOverflow="clip" wrap="square" lIns="0" tIns="0" rIns="0" bIns="0" rtlCol="0" anchor="ctr"/>
        <a:lstStyle/>
        <a:p>
          <a:pPr algn="ctr"/>
          <a:fld id="{DC85F6F2-B9F5-4B34-BBD6-0B993B32E3AE}" type="TxLink">
            <a:rPr lang="en-US" sz="2200" b="1">
              <a:solidFill>
                <a:srgbClr val="0B1F4D"/>
              </a:solidFill>
              <a:latin typeface="Arial"/>
              <a:cs typeface="Arial"/>
            </a:rPr>
            <a:pPr algn="ctr"/>
            <a:t>191</a:t>
          </a:fld>
          <a:endParaRPr lang="en-US" sz="2200" b="1">
            <a:solidFill>
              <a:srgbClr val="0B1F4D"/>
            </a:solidFill>
            <a:latin typeface="Arial"/>
            <a:cs typeface="Arial"/>
          </a:endParaRPr>
        </a:p>
      </xdr:txBody>
    </xdr:sp>
    <xdr:clientData/>
  </xdr:twoCellAnchor>
  <xdr:twoCellAnchor editAs="oneCell">
    <xdr:from>
      <xdr:col>125</xdr:col>
      <xdr:colOff>0</xdr:colOff>
      <xdr:row>50</xdr:row>
      <xdr:rowOff>0</xdr:rowOff>
    </xdr:from>
    <xdr:to>
      <xdr:col>135</xdr:col>
      <xdr:colOff>0</xdr:colOff>
      <xdr:row>52</xdr:row>
      <xdr:rowOff>0</xdr:rowOff>
    </xdr:to>
    <xdr:sp macro="" textlink="">
      <xdr:nvSpPr>
        <xdr:cNvPr id="103" name="Donut label 10"/>
        <xdr:cNvSpPr/>
      </xdr:nvSpPr>
      <xdr:spPr>
        <a:xfrm>
          <a:off x="11991975" y="4819650"/>
          <a:ext cx="952500" cy="171450"/>
        </a:xfrm>
        <a:prstGeom prst="rect">
          <a:avLst/>
        </a:prstGeom>
        <a:noFill/>
        <a:ln>
          <a:noFill/>
        </a:ln>
      </xdr:spPr>
      <xdr:txBody>
        <a:bodyPr vertOverflow="clip" horzOverflow="clip" wrap="square" lIns="0" tIns="0" rIns="0" bIns="0" rtlCol="0" anchor="ctr"/>
        <a:lstStyle/>
        <a:p>
          <a:pPr algn="ctr"/>
          <a:r>
            <a:rPr lang="en-US" sz="1000" b="0">
              <a:solidFill>
                <a:srgbClr val="5B6B85"/>
              </a:solidFill>
              <a:latin typeface="Arial"/>
              <a:ea typeface="Arial"/>
              <a:cs typeface="Arial"/>
            </a:rPr>
            <a:t>Total</a:t>
          </a:r>
        </a:p>
      </xdr:txBody>
    </xdr:sp>
    <xdr:clientData/>
  </xdr:twoCellAnchor>
  <xdr:twoCellAnchor editAs="oneCell">
    <xdr:from>
      <xdr:col>1</xdr:col>
      <xdr:colOff>0</xdr:colOff>
      <xdr:row>68</xdr:row>
      <xdr:rowOff>0</xdr:rowOff>
    </xdr:from>
    <xdr:to>
      <xdr:col>58</xdr:col>
      <xdr:colOff>0</xdr:colOff>
      <xdr:row>91</xdr:row>
      <xdr:rowOff>0</xdr:rowOff>
    </xdr:to>
    <xdr:graphicFrame macro="">
      <xdr:nvGraphicFramePr>
        <xdr:cNvPr id="104"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60</xdr:col>
      <xdr:colOff>0</xdr:colOff>
      <xdr:row>68</xdr:row>
      <xdr:rowOff>0</xdr:rowOff>
    </xdr:from>
    <xdr:to>
      <xdr:col>113</xdr:col>
      <xdr:colOff>0</xdr:colOff>
      <xdr:row>91</xdr:row>
      <xdr:rowOff>0</xdr:rowOff>
    </xdr:to>
    <xdr:graphicFrame macro="">
      <xdr:nvGraphicFramePr>
        <xdr:cNvPr id="105"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71</xdr:col>
      <xdr:colOff>0</xdr:colOff>
      <xdr:row>77</xdr:row>
      <xdr:rowOff>0</xdr:rowOff>
    </xdr:from>
    <xdr:to>
      <xdr:col>81</xdr:col>
      <xdr:colOff>0</xdr:colOff>
      <xdr:row>80</xdr:row>
      <xdr:rowOff>0</xdr:rowOff>
    </xdr:to>
    <xdr:sp macro="" textlink="'Pivot Data'!$U$14">
      <xdr:nvSpPr>
        <xdr:cNvPr id="106" name="Donut total 12"/>
        <xdr:cNvSpPr/>
      </xdr:nvSpPr>
      <xdr:spPr>
        <a:xfrm>
          <a:off x="6810375" y="7391400"/>
          <a:ext cx="952500" cy="304800"/>
        </a:xfrm>
        <a:prstGeom prst="rect">
          <a:avLst/>
        </a:prstGeom>
        <a:noFill/>
        <a:ln>
          <a:noFill/>
        </a:ln>
      </xdr:spPr>
      <xdr:txBody>
        <a:bodyPr vertOverflow="clip" horzOverflow="clip" wrap="square" lIns="0" tIns="0" rIns="0" bIns="0" rtlCol="0" anchor="ctr"/>
        <a:lstStyle/>
        <a:p>
          <a:pPr algn="ctr"/>
          <a:fld id="{256C17E1-4D0C-4E46-991B-7F69B2A7518A}" type="TxLink">
            <a:rPr lang="en-US" sz="2200" b="1">
              <a:solidFill>
                <a:srgbClr val="0B1F4D"/>
              </a:solidFill>
              <a:latin typeface="Arial"/>
              <a:cs typeface="Arial"/>
            </a:rPr>
            <a:pPr algn="ctr"/>
            <a:t>191</a:t>
          </a:fld>
          <a:endParaRPr lang="en-US" sz="2200" b="1">
            <a:solidFill>
              <a:srgbClr val="0B1F4D"/>
            </a:solidFill>
            <a:latin typeface="Arial"/>
            <a:cs typeface="Arial"/>
          </a:endParaRPr>
        </a:p>
      </xdr:txBody>
    </xdr:sp>
    <xdr:clientData/>
  </xdr:twoCellAnchor>
  <xdr:twoCellAnchor editAs="oneCell">
    <xdr:from>
      <xdr:col>71</xdr:col>
      <xdr:colOff>0</xdr:colOff>
      <xdr:row>80</xdr:row>
      <xdr:rowOff>0</xdr:rowOff>
    </xdr:from>
    <xdr:to>
      <xdr:col>81</xdr:col>
      <xdr:colOff>0</xdr:colOff>
      <xdr:row>82</xdr:row>
      <xdr:rowOff>0</xdr:rowOff>
    </xdr:to>
    <xdr:sp macro="" textlink="">
      <xdr:nvSpPr>
        <xdr:cNvPr id="107" name="Donut label 12"/>
        <xdr:cNvSpPr/>
      </xdr:nvSpPr>
      <xdr:spPr>
        <a:xfrm>
          <a:off x="6810375" y="7677150"/>
          <a:ext cx="952500" cy="171450"/>
        </a:xfrm>
        <a:prstGeom prst="rect">
          <a:avLst/>
        </a:prstGeom>
        <a:noFill/>
        <a:ln>
          <a:noFill/>
        </a:ln>
      </xdr:spPr>
      <xdr:txBody>
        <a:bodyPr vertOverflow="clip" horzOverflow="clip" wrap="square" lIns="0" tIns="0" rIns="0" bIns="0" rtlCol="0" anchor="ctr"/>
        <a:lstStyle/>
        <a:p>
          <a:pPr algn="ctr"/>
          <a:r>
            <a:rPr lang="en-US" sz="1000" b="0">
              <a:solidFill>
                <a:srgbClr val="5B6B85"/>
              </a:solidFill>
              <a:latin typeface="Arial"/>
              <a:ea typeface="Arial"/>
              <a:cs typeface="Arial"/>
            </a:rPr>
            <a:t>Total</a:t>
          </a:r>
        </a:p>
      </xdr:txBody>
    </xdr:sp>
    <xdr:clientData/>
  </xdr:twoCellAnchor>
  <xdr:twoCellAnchor editAs="oneCell">
    <xdr:from>
      <xdr:col>115</xdr:col>
      <xdr:colOff>0</xdr:colOff>
      <xdr:row>68</xdr:row>
      <xdr:rowOff>0</xdr:rowOff>
    </xdr:from>
    <xdr:to>
      <xdr:col>166</xdr:col>
      <xdr:colOff>0</xdr:colOff>
      <xdr:row>91</xdr:row>
      <xdr:rowOff>0</xdr:rowOff>
    </xdr:to>
    <xdr:graphicFrame macro="">
      <xdr:nvGraphicFramePr>
        <xdr:cNvPr id="108"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19050</xdr:rowOff>
    </xdr:from>
    <xdr:to>
      <xdr:col>3</xdr:col>
      <xdr:colOff>0</xdr:colOff>
      <xdr:row>11</xdr:row>
      <xdr:rowOff>-1</xdr:rowOff>
    </xdr:to>
    <mc:AlternateContent xmlns:mc="http://schemas.openxmlformats.org/markup-compatibility/2006" xmlns:a14="http://schemas.microsoft.com/office/drawing/2010/main">
      <mc:Choice Requires="a14">
        <xdr:graphicFrame macro="">
          <xdr:nvGraphicFramePr>
            <xdr:cNvPr id="4" name="Years (Booking Date)">
              <a:extLst>
                <a:ext uri="{FF2B5EF4-FFF2-40B4-BE49-F238E27FC236}">
                  <a16:creationId xmlns:a16="http://schemas.microsoft.com/office/drawing/2014/main" id="{057163B0-A26D-4314-9F19-3F297E443469}"/>
                </a:ext>
              </a:extLst>
            </xdr:cNvPr>
            <xdr:cNvGraphicFramePr/>
          </xdr:nvGraphicFramePr>
          <xdr:xfrm>
            <a:off x="0" y="0"/>
            <a:ext cx="0" cy="0"/>
          </xdr:xfrm>
          <a:graphic>
            <a:graphicData uri="http://schemas.microsoft.com/office/drawing/2010/slicer">
              <sle:slicer xmlns:sle="http://schemas.microsoft.com/office/drawing/2010/slicer" name="Years (Booking Date)"/>
            </a:graphicData>
          </a:graphic>
        </xdr:graphicFrame>
      </mc:Choice>
      <mc:Fallback xmlns="">
        <xdr:sp macro="" textlink="">
          <xdr:nvSpPr>
            <xdr:cNvPr id="0" name=""/>
            <xdr:cNvSpPr>
              <a:spLocks noTextEdit="1"/>
            </xdr:cNvSpPr>
          </xdr:nvSpPr>
          <xdr:spPr>
            <a:xfrm>
              <a:off x="0" y="590550"/>
              <a:ext cx="2163536" cy="1504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714374</xdr:colOff>
      <xdr:row>3</xdr:row>
      <xdr:rowOff>19050</xdr:rowOff>
    </xdr:from>
    <xdr:to>
      <xdr:col>5</xdr:col>
      <xdr:colOff>714374</xdr:colOff>
      <xdr:row>11</xdr:row>
      <xdr:rowOff>-1</xdr:rowOff>
    </xdr:to>
    <mc:AlternateContent xmlns:mc="http://schemas.openxmlformats.org/markup-compatibility/2006" xmlns:a14="http://schemas.microsoft.com/office/drawing/2010/main">
      <mc:Choice Requires="a14">
        <xdr:graphicFrame macro="">
          <xdr:nvGraphicFramePr>
            <xdr:cNvPr id="5" name="Months (Booking Date)">
              <a:extLst>
                <a:ext uri="{FF2B5EF4-FFF2-40B4-BE49-F238E27FC236}">
                  <a16:creationId xmlns:a16="http://schemas.microsoft.com/office/drawing/2014/main" id="{586EA856-13A9-43B7-9B89-8214B3625006}"/>
                </a:ext>
              </a:extLst>
            </xdr:cNvPr>
            <xdr:cNvGraphicFramePr/>
          </xdr:nvGraphicFramePr>
          <xdr:xfrm>
            <a:off x="0" y="0"/>
            <a:ext cx="0" cy="0"/>
          </xdr:xfrm>
          <a:graphic>
            <a:graphicData uri="http://schemas.microsoft.com/office/drawing/2010/slicer">
              <sle:slicer xmlns:sle="http://schemas.microsoft.com/office/drawing/2010/slicer" name="Months (Booking Date)"/>
            </a:graphicData>
          </a:graphic>
        </xdr:graphicFrame>
      </mc:Choice>
      <mc:Fallback xmlns="">
        <xdr:sp macro="" textlink="">
          <xdr:nvSpPr>
            <xdr:cNvPr id="0" name=""/>
            <xdr:cNvSpPr>
              <a:spLocks noTextEdit="1"/>
            </xdr:cNvSpPr>
          </xdr:nvSpPr>
          <xdr:spPr>
            <a:xfrm>
              <a:off x="2156731" y="590550"/>
              <a:ext cx="2163536" cy="1504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3</xdr:row>
      <xdr:rowOff>19050</xdr:rowOff>
    </xdr:from>
    <xdr:to>
      <xdr:col>9</xdr:col>
      <xdr:colOff>0</xdr:colOff>
      <xdr:row>10</xdr:row>
      <xdr:rowOff>190350</xdr:rowOff>
    </xdr:to>
    <mc:AlternateContent xmlns:mc="http://schemas.openxmlformats.org/markup-compatibility/2006" xmlns:a14="http://schemas.microsoft.com/office/drawing/2010/main">
      <mc:Choice Requires="a14">
        <xdr:graphicFrame macro="">
          <xdr:nvGraphicFramePr>
            <xdr:cNvPr id="6" name="Destination">
              <a:extLst>
                <a:ext uri="{FF2B5EF4-FFF2-40B4-BE49-F238E27FC236}">
                  <a16:creationId xmlns:a16="http://schemas.microsoft.com/office/drawing/2014/main" id="{E4CB20DE-0C79-4117-89BD-A73009558866}"/>
                </a:ext>
              </a:extLst>
            </xdr:cNvPr>
            <xdr:cNvGraphicFramePr/>
          </xdr:nvGraphicFramePr>
          <xdr:xfrm>
            <a:off x="0" y="0"/>
            <a:ext cx="0" cy="0"/>
          </xdr:xfrm>
          <a:graphic>
            <a:graphicData uri="http://schemas.microsoft.com/office/drawing/2010/slicer">
              <sle:slicer xmlns:sle="http://schemas.microsoft.com/office/drawing/2010/slicer" name="Destination"/>
            </a:graphicData>
          </a:graphic>
        </xdr:graphicFrame>
      </mc:Choice>
      <mc:Fallback xmlns="">
        <xdr:sp macro="" textlink="">
          <xdr:nvSpPr>
            <xdr:cNvPr id="0" name=""/>
            <xdr:cNvSpPr>
              <a:spLocks noTextEdit="1"/>
            </xdr:cNvSpPr>
          </xdr:nvSpPr>
          <xdr:spPr>
            <a:xfrm>
              <a:off x="4327071" y="590550"/>
              <a:ext cx="2163536" cy="1504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714374</xdr:colOff>
      <xdr:row>3</xdr:row>
      <xdr:rowOff>19050</xdr:rowOff>
    </xdr:from>
    <xdr:to>
      <xdr:col>11</xdr:col>
      <xdr:colOff>714374</xdr:colOff>
      <xdr:row>10</xdr:row>
      <xdr:rowOff>190350</xdr:rowOff>
    </xdr:to>
    <mc:AlternateContent xmlns:mc="http://schemas.openxmlformats.org/markup-compatibility/2006" xmlns:a14="http://schemas.microsoft.com/office/drawing/2010/main">
      <mc:Choice Requires="a14">
        <xdr:graphicFrame macro="">
          <xdr:nvGraphicFramePr>
            <xdr:cNvPr id="7" name="Package Type">
              <a:extLst>
                <a:ext uri="{FF2B5EF4-FFF2-40B4-BE49-F238E27FC236}">
                  <a16:creationId xmlns:a16="http://schemas.microsoft.com/office/drawing/2014/main" id="{00230FA6-74B8-40D7-BB08-29E0566D16DD}"/>
                </a:ext>
              </a:extLst>
            </xdr:cNvPr>
            <xdr:cNvGraphicFramePr/>
          </xdr:nvGraphicFramePr>
          <xdr:xfrm>
            <a:off x="0" y="0"/>
            <a:ext cx="0" cy="0"/>
          </xdr:xfrm>
          <a:graphic>
            <a:graphicData uri="http://schemas.microsoft.com/office/drawing/2010/slicer">
              <sle:slicer xmlns:sle="http://schemas.microsoft.com/office/drawing/2010/slicer" name="Package Type"/>
            </a:graphicData>
          </a:graphic>
        </xdr:graphicFrame>
      </mc:Choice>
      <mc:Fallback xmlns="">
        <xdr:sp macro="" textlink="">
          <xdr:nvSpPr>
            <xdr:cNvPr id="0" name=""/>
            <xdr:cNvSpPr>
              <a:spLocks noTextEdit="1"/>
            </xdr:cNvSpPr>
          </xdr:nvSpPr>
          <xdr:spPr>
            <a:xfrm>
              <a:off x="6483803" y="590550"/>
              <a:ext cx="2163535" cy="1504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714374</xdr:colOff>
      <xdr:row>3</xdr:row>
      <xdr:rowOff>19050</xdr:rowOff>
    </xdr:from>
    <xdr:to>
      <xdr:col>15</xdr:col>
      <xdr:colOff>0</xdr:colOff>
      <xdr:row>10</xdr:row>
      <xdr:rowOff>190350</xdr:rowOff>
    </xdr:to>
    <mc:AlternateContent xmlns:mc="http://schemas.openxmlformats.org/markup-compatibility/2006" xmlns:a14="http://schemas.microsoft.com/office/drawing/2010/main">
      <mc:Choice Requires="a14">
        <xdr:graphicFrame macro="">
          <xdr:nvGraphicFramePr>
            <xdr:cNvPr id="8" name="Booking Status">
              <a:extLst>
                <a:ext uri="{FF2B5EF4-FFF2-40B4-BE49-F238E27FC236}">
                  <a16:creationId xmlns:a16="http://schemas.microsoft.com/office/drawing/2014/main" id="{52DE5B61-05AC-4DD4-907F-7FBEBBCAAA00}"/>
                </a:ext>
              </a:extLst>
            </xdr:cNvPr>
            <xdr:cNvGraphicFramePr/>
          </xdr:nvGraphicFramePr>
          <xdr:xfrm>
            <a:off x="0" y="0"/>
            <a:ext cx="0" cy="0"/>
          </xdr:xfrm>
          <a:graphic>
            <a:graphicData uri="http://schemas.microsoft.com/office/drawing/2010/slicer">
              <sle:slicer xmlns:sle="http://schemas.microsoft.com/office/drawing/2010/slicer" name="Booking Status"/>
            </a:graphicData>
          </a:graphic>
        </xdr:graphicFrame>
      </mc:Choice>
      <mc:Fallback xmlns="">
        <xdr:sp macro="" textlink="">
          <xdr:nvSpPr>
            <xdr:cNvPr id="0" name=""/>
            <xdr:cNvSpPr>
              <a:spLocks noTextEdit="1"/>
            </xdr:cNvSpPr>
          </xdr:nvSpPr>
          <xdr:spPr>
            <a:xfrm>
              <a:off x="8647338" y="590550"/>
              <a:ext cx="2170341" cy="1504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714374</xdr:colOff>
      <xdr:row>3</xdr:row>
      <xdr:rowOff>19050</xdr:rowOff>
    </xdr:from>
    <xdr:to>
      <xdr:col>17</xdr:col>
      <xdr:colOff>714374</xdr:colOff>
      <xdr:row>10</xdr:row>
      <xdr:rowOff>190350</xdr:rowOff>
    </xdr:to>
    <mc:AlternateContent xmlns:mc="http://schemas.openxmlformats.org/markup-compatibility/2006" xmlns:a14="http://schemas.microsoft.com/office/drawing/2010/main">
      <mc:Choice Requires="a14">
        <xdr:graphicFrame macro="">
          <xdr:nvGraphicFramePr>
            <xdr:cNvPr id="9" name="Payment Method">
              <a:extLst>
                <a:ext uri="{FF2B5EF4-FFF2-40B4-BE49-F238E27FC236}">
                  <a16:creationId xmlns:a16="http://schemas.microsoft.com/office/drawing/2014/main" id="{27EA83E0-6F99-4415-81B8-73CB909CEBBD}"/>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0810874" y="590550"/>
              <a:ext cx="2163536" cy="1504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3</xdr:row>
      <xdr:rowOff>19050</xdr:rowOff>
    </xdr:from>
    <xdr:to>
      <xdr:col>24</xdr:col>
      <xdr:colOff>0</xdr:colOff>
      <xdr:row>10</xdr:row>
      <xdr:rowOff>190350</xdr:rowOff>
    </xdr:to>
    <mc:AlternateContent xmlns:mc="http://schemas.openxmlformats.org/markup-compatibility/2006" xmlns:a14="http://schemas.microsoft.com/office/drawing/2010/main">
      <mc:Choice Requires="a14">
        <xdr:graphicFrame macro="">
          <xdr:nvGraphicFramePr>
            <xdr:cNvPr id="10" name="Salesperson">
              <a:extLst>
                <a:ext uri="{FF2B5EF4-FFF2-40B4-BE49-F238E27FC236}">
                  <a16:creationId xmlns:a16="http://schemas.microsoft.com/office/drawing/2014/main" id="{FF13463A-2324-48F8-82AD-A8B7E3900D27}"/>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2981214" y="590550"/>
              <a:ext cx="4327072" cy="1504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16</xdr:row>
      <xdr:rowOff>0</xdr:rowOff>
    </xdr:from>
    <xdr:to>
      <xdr:col>7</xdr:col>
      <xdr:colOff>703036</xdr:colOff>
      <xdr:row>28</xdr:row>
      <xdr:rowOff>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703036</xdr:colOff>
      <xdr:row>15</xdr:row>
      <xdr:rowOff>158750</xdr:rowOff>
    </xdr:from>
    <xdr:to>
      <xdr:col>11</xdr:col>
      <xdr:colOff>691697</xdr:colOff>
      <xdr:row>27</xdr:row>
      <xdr:rowOff>170089</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714374</xdr:colOff>
      <xdr:row>16</xdr:row>
      <xdr:rowOff>0</xdr:rowOff>
    </xdr:from>
    <xdr:to>
      <xdr:col>24</xdr:col>
      <xdr:colOff>11338</xdr:colOff>
      <xdr:row>28</xdr:row>
      <xdr:rowOff>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30</xdr:row>
      <xdr:rowOff>0</xdr:rowOff>
    </xdr:from>
    <xdr:to>
      <xdr:col>8</xdr:col>
      <xdr:colOff>11338</xdr:colOff>
      <xdr:row>42</xdr:row>
      <xdr:rowOff>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22679</xdr:colOff>
      <xdr:row>30</xdr:row>
      <xdr:rowOff>1</xdr:rowOff>
    </xdr:from>
    <xdr:to>
      <xdr:col>16</xdr:col>
      <xdr:colOff>56696</xdr:colOff>
      <xdr:row>41</xdr:row>
      <xdr:rowOff>158751</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xdr:colOff>
      <xdr:row>30</xdr:row>
      <xdr:rowOff>0</xdr:rowOff>
    </xdr:from>
    <xdr:to>
      <xdr:col>23</xdr:col>
      <xdr:colOff>265044</xdr:colOff>
      <xdr:row>41</xdr:row>
      <xdr:rowOff>165652</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44</xdr:row>
      <xdr:rowOff>1</xdr:rowOff>
    </xdr:from>
    <xdr:to>
      <xdr:col>24</xdr:col>
      <xdr:colOff>262282</xdr:colOff>
      <xdr:row>58</xdr:row>
      <xdr:rowOff>1</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Admin" refreshedDate="46295.60688796296" createdVersion="8" refreshedVersion="6" minRefreshableVersion="3" recordCount="300">
  <cacheSource type="worksheet">
    <worksheetSource name="ToursTravelData"/>
  </cacheSource>
  <cacheFields count="17">
    <cacheField name="Booking ID" numFmtId="0">
      <sharedItems/>
    </cacheField>
    <cacheField name="Booking Date" numFmtId="164">
      <sharedItems containsSemiMixedTypes="0" containsNonDate="0" containsDate="1" containsString="0" minDate="2025-01-01T00:00:00" maxDate="2026-01-01T00:00:00" count="214">
        <d v="2025-03-02T00:00:00"/>
        <d v="2025-02-11T00:00:00"/>
        <d v="2025-09-20T00:00:00"/>
        <d v="2025-08-25T00:00:00"/>
        <d v="2025-10-16T00:00:00"/>
        <d v="2025-03-04T00:00:00"/>
        <d v="2025-09-03T00:00:00"/>
        <d v="2025-05-14T00:00:00"/>
        <d v="2025-09-21T00:00:00"/>
        <d v="2025-03-16T00:00:00"/>
        <d v="2025-12-09T00:00:00"/>
        <d v="2025-02-13T00:00:00"/>
        <d v="2025-02-24T00:00:00"/>
        <d v="2025-02-05T00:00:00"/>
        <d v="2025-03-08T00:00:00"/>
        <d v="2025-07-16T00:00:00"/>
        <d v="2025-03-03T00:00:00"/>
        <d v="2025-01-14T00:00:00"/>
        <d v="2025-10-12T00:00:00"/>
        <d v="2025-06-10T00:00:00"/>
        <d v="2025-01-08T00:00:00"/>
        <d v="2025-01-20T00:00:00"/>
        <d v="2025-08-12T00:00:00"/>
        <d v="2025-02-27T00:00:00"/>
        <d v="2025-08-01T00:00:00"/>
        <d v="2025-05-11T00:00:00"/>
        <d v="2025-11-29T00:00:00"/>
        <d v="2025-03-19T00:00:00"/>
        <d v="2025-10-08T00:00:00"/>
        <d v="2025-11-24T00:00:00"/>
        <d v="2025-07-21T00:00:00"/>
        <d v="2025-01-22T00:00:00"/>
        <d v="2025-11-07T00:00:00"/>
        <d v="2025-03-01T00:00:00"/>
        <d v="2025-02-07T00:00:00"/>
        <d v="2025-12-16T00:00:00"/>
        <d v="2025-06-19T00:00:00"/>
        <d v="2025-06-29T00:00:00"/>
        <d v="2025-08-16T00:00:00"/>
        <d v="2025-07-25T00:00:00"/>
        <d v="2025-07-24T00:00:00"/>
        <d v="2025-02-10T00:00:00"/>
        <d v="2025-06-08T00:00:00"/>
        <d v="2025-04-29T00:00:00"/>
        <d v="2025-09-04T00:00:00"/>
        <d v="2025-11-27T00:00:00"/>
        <d v="2025-03-31T00:00:00"/>
        <d v="2025-09-27T00:00:00"/>
        <d v="2025-10-04T00:00:00"/>
        <d v="2025-04-02T00:00:00"/>
        <d v="2025-11-15T00:00:00"/>
        <d v="2025-01-21T00:00:00"/>
        <d v="2025-03-29T00:00:00"/>
        <d v="2025-04-15T00:00:00"/>
        <d v="2025-05-20T00:00:00"/>
        <d v="2025-12-24T00:00:00"/>
        <d v="2025-03-10T00:00:00"/>
        <d v="2025-08-30T00:00:00"/>
        <d v="2025-04-05T00:00:00"/>
        <d v="2025-03-13T00:00:00"/>
        <d v="2025-04-22T00:00:00"/>
        <d v="2025-03-28T00:00:00"/>
        <d v="2025-12-22T00:00:00"/>
        <d v="2025-11-13T00:00:00"/>
        <d v="2025-08-26T00:00:00"/>
        <d v="2025-09-16T00:00:00"/>
        <d v="2025-10-18T00:00:00"/>
        <d v="2025-06-05T00:00:00"/>
        <d v="2025-03-23T00:00:00"/>
        <d v="2025-08-13T00:00:00"/>
        <d v="2025-04-20T00:00:00"/>
        <d v="2025-07-22T00:00:00"/>
        <d v="2025-11-02T00:00:00"/>
        <d v="2025-01-07T00:00:00"/>
        <d v="2025-08-23T00:00:00"/>
        <d v="2025-12-04T00:00:00"/>
        <d v="2025-02-01T00:00:00"/>
        <d v="2025-08-06T00:00:00"/>
        <d v="2025-02-08T00:00:00"/>
        <d v="2025-09-28T00:00:00"/>
        <d v="2025-10-30T00:00:00"/>
        <d v="2025-12-23T00:00:00"/>
        <d v="2025-07-10T00:00:00"/>
        <d v="2025-01-06T00:00:00"/>
        <d v="2025-12-30T00:00:00"/>
        <d v="2025-11-10T00:00:00"/>
        <d v="2025-01-19T00:00:00"/>
        <d v="2025-05-17T00:00:00"/>
        <d v="2025-01-01T00:00:00"/>
        <d v="2025-02-22T00:00:00"/>
        <d v="2025-05-12T00:00:00"/>
        <d v="2025-05-10T00:00:00"/>
        <d v="2025-11-01T00:00:00"/>
        <d v="2025-06-02T00:00:00"/>
        <d v="2025-04-14T00:00:00"/>
        <d v="2025-09-10T00:00:00"/>
        <d v="2025-07-26T00:00:00"/>
        <d v="2025-08-21T00:00:00"/>
        <d v="2025-09-26T00:00:00"/>
        <d v="2025-06-16T00:00:00"/>
        <d v="2025-12-20T00:00:00"/>
        <d v="2025-01-10T00:00:00"/>
        <d v="2025-04-13T00:00:00"/>
        <d v="2025-07-02T00:00:00"/>
        <d v="2025-01-04T00:00:00"/>
        <d v="2025-05-06T00:00:00"/>
        <d v="2025-11-06T00:00:00"/>
        <d v="2025-12-17T00:00:00"/>
        <d v="2025-06-24T00:00:00"/>
        <d v="2025-09-23T00:00:00"/>
        <d v="2025-12-28T00:00:00"/>
        <d v="2025-03-25T00:00:00"/>
        <d v="2025-09-24T00:00:00"/>
        <d v="2025-03-15T00:00:00"/>
        <d v="2025-09-19T00:00:00"/>
        <d v="2025-06-01T00:00:00"/>
        <d v="2025-02-06T00:00:00"/>
        <d v="2025-11-18T00:00:00"/>
        <d v="2025-09-30T00:00:00"/>
        <d v="2025-09-25T00:00:00"/>
        <d v="2025-05-27T00:00:00"/>
        <d v="2025-03-22T00:00:00"/>
        <d v="2025-07-20T00:00:00"/>
        <d v="2025-08-07T00:00:00"/>
        <d v="2025-11-04T00:00:00"/>
        <d v="2025-03-07T00:00:00"/>
        <d v="2025-10-07T00:00:00"/>
        <d v="2025-08-15T00:00:00"/>
        <d v="2025-07-28T00:00:00"/>
        <d v="2025-08-28T00:00:00"/>
        <d v="2025-08-14T00:00:00"/>
        <d v="2025-11-25T00:00:00"/>
        <d v="2025-09-08T00:00:00"/>
        <d v="2025-07-17T00:00:00"/>
        <d v="2025-01-18T00:00:00"/>
        <d v="2025-07-04T00:00:00"/>
        <d v="2025-10-06T00:00:00"/>
        <d v="2025-12-31T00:00:00"/>
        <d v="2025-10-22T00:00:00"/>
        <d v="2025-05-07T00:00:00"/>
        <d v="2025-02-03T00:00:00"/>
        <d v="2025-11-26T00:00:00"/>
        <d v="2025-05-16T00:00:00"/>
        <d v="2025-04-03T00:00:00"/>
        <d v="2025-04-21T00:00:00"/>
        <d v="2025-06-07T00:00:00"/>
        <d v="2025-04-10T00:00:00"/>
        <d v="2025-11-30T00:00:00"/>
        <d v="2025-09-11T00:00:00"/>
        <d v="2025-02-02T00:00:00"/>
        <d v="2025-11-28T00:00:00"/>
        <d v="2025-12-25T00:00:00"/>
        <d v="2025-11-09T00:00:00"/>
        <d v="2025-05-21T00:00:00"/>
        <d v="2025-09-05T00:00:00"/>
        <d v="2025-09-07T00:00:00"/>
        <d v="2025-12-14T00:00:00"/>
        <d v="2025-11-19T00:00:00"/>
        <d v="2025-08-19T00:00:00"/>
        <d v="2025-01-02T00:00:00"/>
        <d v="2025-05-26T00:00:00"/>
        <d v="2025-02-28T00:00:00"/>
        <d v="2025-10-03T00:00:00"/>
        <d v="2025-08-04T00:00:00"/>
        <d v="2025-03-11T00:00:00"/>
        <d v="2025-07-03T00:00:00"/>
        <d v="2025-01-15T00:00:00"/>
        <d v="2025-10-25T00:00:00"/>
        <d v="2025-10-23T00:00:00"/>
        <d v="2025-06-18T00:00:00"/>
        <d v="2025-04-07T00:00:00"/>
        <d v="2025-06-13T00:00:00"/>
        <d v="2025-08-03T00:00:00"/>
        <d v="2025-11-16T00:00:00"/>
        <d v="2025-05-01T00:00:00"/>
        <d v="2025-02-12T00:00:00"/>
        <d v="2025-04-30T00:00:00"/>
        <d v="2025-04-28T00:00:00"/>
        <d v="2025-07-23T00:00:00"/>
        <d v="2025-06-28T00:00:00"/>
        <d v="2025-04-23T00:00:00"/>
        <d v="2025-05-15T00:00:00"/>
        <d v="2025-12-12T00:00:00"/>
        <d v="2025-10-24T00:00:00"/>
        <d v="2025-01-11T00:00:00"/>
        <d v="2025-02-20T00:00:00"/>
        <d v="2025-01-16T00:00:00"/>
        <d v="2025-04-16T00:00:00"/>
        <d v="2025-12-26T00:00:00"/>
        <d v="2025-10-31T00:00:00"/>
        <d v="2025-08-09T00:00:00"/>
        <d v="2025-06-22T00:00:00"/>
        <d v="2025-01-17T00:00:00"/>
        <d v="2025-07-18T00:00:00"/>
        <d v="2025-08-22T00:00:00"/>
        <d v="2025-12-29T00:00:00"/>
        <d v="2025-03-17T00:00:00"/>
        <d v="2025-02-23T00:00:00"/>
        <d v="2025-03-21T00:00:00"/>
        <d v="2025-05-25T00:00:00"/>
        <d v="2025-09-18T00:00:00"/>
        <d v="2025-06-03T00:00:00"/>
        <d v="2025-02-25T00:00:00"/>
        <d v="2025-01-23T00:00:00"/>
        <d v="2025-05-24T00:00:00"/>
        <d v="2025-05-09T00:00:00"/>
        <d v="2025-08-27T00:00:00"/>
        <d v="2025-09-29T00:00:00"/>
        <d v="2025-09-14T00:00:00"/>
        <d v="2025-06-06T00:00:00"/>
        <d v="2025-12-19T00:00:00"/>
        <d v="2025-03-24T00:00:00"/>
        <d v="2025-04-08T00:00:00"/>
        <d v="2025-07-31T00:00:00"/>
      </sharedItems>
      <fieldGroup par="16"/>
    </cacheField>
    <cacheField name="Customer Name" numFmtId="0">
      <sharedItems/>
    </cacheField>
    <cacheField name="Gender" numFmtId="0">
      <sharedItems/>
    </cacheField>
    <cacheField name="Age" numFmtId="0">
      <sharedItems containsSemiMixedTypes="0" containsString="0" containsNumber="1" containsInteger="1" minValue="18" maxValue="60"/>
    </cacheField>
    <cacheField name="Destination" numFmtId="0">
      <sharedItems count="10">
        <s v="Thailand"/>
        <s v="Manali"/>
        <s v="Singapore"/>
        <s v="Rajasthan"/>
        <s v="Bali"/>
        <s v="Kashmir"/>
        <s v="Dubai"/>
        <s v="Goa"/>
        <s v="Andaman"/>
        <s v="Kerala"/>
      </sharedItems>
    </cacheField>
    <cacheField name="Package Name" numFmtId="0">
      <sharedItems/>
    </cacheField>
    <cacheField name="Package Type" numFmtId="0">
      <sharedItems count="5">
        <s v="Luxury"/>
        <s v="Honeymoon"/>
        <s v="Adventure"/>
        <s v="Family"/>
        <s v="Group"/>
      </sharedItems>
    </cacheField>
    <cacheField name="Travelers" numFmtId="0">
      <sharedItems containsSemiMixedTypes="0" containsString="0" containsNumber="1" containsInteger="1" minValue="1" maxValue="6"/>
    </cacheField>
    <cacheField name="Booking Amount" numFmtId="165">
      <sharedItems containsSemiMixedTypes="0" containsString="0" containsNumber="1" containsInteger="1" minValue="5100" maxValue="86700"/>
    </cacheField>
    <cacheField name="Payment Method" numFmtId="0">
      <sharedItems count="4">
        <s v="Cash"/>
        <s v="Net Banking"/>
        <s v="UPI"/>
        <s v="Credit Card"/>
      </sharedItems>
    </cacheField>
    <cacheField name="Booking Status" numFmtId="0">
      <sharedItems count="2">
        <s v="Cancelled"/>
        <s v="Confirmed"/>
      </sharedItems>
    </cacheField>
    <cacheField name="Travel Date" numFmtId="164">
      <sharedItems containsSemiMixedTypes="0" containsNonDate="0" containsDate="1" containsString="0" minDate="2025-01-21T00:00:00" maxDate="2026-04-08T00:00:00"/>
    </cacheField>
    <cacheField name="Salesperson" numFmtId="0">
      <sharedItems count="6">
        <s v="Neha Verma"/>
        <s v="Pooja Mehta"/>
        <s v="Priya Shah"/>
        <s v="Amit Singh"/>
        <s v="Rahul Sharma"/>
        <s v="Sanjay Patel"/>
      </sharedItems>
    </cacheField>
    <cacheField name="Customer Rating" numFmtId="0">
      <sharedItems containsSemiMixedTypes="0" containsString="0" containsNumber="1" containsInteger="1" minValue="3" maxValue="5"/>
    </cacheField>
    <cacheField name="Months (Booking Date)"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 name="Years (Booking Date)" numFmtId="0" databaseField="0">
      <fieldGroup base="1">
        <rangePr groupBy="years" startDate="2025-01-01T00:00:00" endDate="2026-01-01T00:00:00"/>
        <groupItems count="4">
          <s v="&lt;1/1/2025"/>
          <s v="2025"/>
          <s v="2026"/>
          <s v="&gt;1/1/2026"/>
        </groupItems>
      </fieldGroup>
    </cacheField>
  </cacheFields>
  <extLst>
    <ext xmlns:x14="http://schemas.microsoft.com/office/spreadsheetml/2009/9/main" uri="{725AE2AE-9491-48be-B2B4-4EB974FC3084}">
      <x14:pivotCacheDefinition pivotCacheId="780636606"/>
    </ext>
  </extLst>
</pivotCacheDefinition>
</file>

<file path=xl/pivotCache/pivotCacheRecords1.xml><?xml version="1.0" encoding="utf-8"?>
<pivotCacheRecords xmlns="http://schemas.openxmlformats.org/spreadsheetml/2006/main" xmlns:r="http://schemas.openxmlformats.org/officeDocument/2006/relationships" count="300">
  <r>
    <s v="BK0001"/>
    <x v="0"/>
    <s v="Arjun Verma"/>
    <s v="Female"/>
    <n v="54"/>
    <x v="0"/>
    <s v="Thailand Luxury"/>
    <x v="0"/>
    <n v="5"/>
    <n v="59100"/>
    <x v="0"/>
    <x v="0"/>
    <d v="2025-05-04T00:00:00"/>
    <x v="0"/>
    <n v="3"/>
  </r>
  <r>
    <s v="BK0002"/>
    <x v="1"/>
    <s v="Sara Shah"/>
    <s v="Male"/>
    <n v="43"/>
    <x v="1"/>
    <s v="Manali Couple Retreat"/>
    <x v="1"/>
    <n v="1"/>
    <n v="8600"/>
    <x v="1"/>
    <x v="1"/>
    <d v="2025-04-04T00:00:00"/>
    <x v="1"/>
    <n v="5"/>
  </r>
  <r>
    <s v="BK0003"/>
    <x v="2"/>
    <s v="Aanya Singh"/>
    <s v="Female"/>
    <n v="27"/>
    <x v="1"/>
    <s v="Manali Adventure"/>
    <x v="2"/>
    <n v="3"/>
    <n v="19600"/>
    <x v="1"/>
    <x v="1"/>
    <d v="2026-01-13T00:00:00"/>
    <x v="2"/>
    <n v="4"/>
  </r>
  <r>
    <s v="BK0004"/>
    <x v="3"/>
    <s v="Sara Patel"/>
    <s v="Female"/>
    <n v="50"/>
    <x v="2"/>
    <s v="Singapore City Tour"/>
    <x v="3"/>
    <n v="4"/>
    <n v="45000"/>
    <x v="0"/>
    <x v="1"/>
    <d v="2025-11-07T00:00:00"/>
    <x v="3"/>
    <n v="5"/>
  </r>
  <r>
    <s v="BK0005"/>
    <x v="4"/>
    <s v="Rohan Sharma"/>
    <s v="Male"/>
    <n v="57"/>
    <x v="3"/>
    <s v="Rajasthan Heritage"/>
    <x v="4"/>
    <n v="5"/>
    <n v="27500"/>
    <x v="0"/>
    <x v="1"/>
    <d v="2025-11-10T00:00:00"/>
    <x v="1"/>
    <n v="5"/>
  </r>
  <r>
    <s v="BK0006"/>
    <x v="5"/>
    <s v="Anaya Joshi"/>
    <s v="Female"/>
    <n v="60"/>
    <x v="3"/>
    <s v="Rajasthan Royal Tour"/>
    <x v="0"/>
    <n v="6"/>
    <n v="59100"/>
    <x v="1"/>
    <x v="0"/>
    <d v="2025-06-21T00:00:00"/>
    <x v="2"/>
    <n v="5"/>
  </r>
  <r>
    <s v="BK0007"/>
    <x v="6"/>
    <s v="Anaya Sharma"/>
    <s v="Male"/>
    <n v="27"/>
    <x v="2"/>
    <s v="Singapore Luxury"/>
    <x v="0"/>
    <n v="2"/>
    <n v="24200"/>
    <x v="0"/>
    <x v="0"/>
    <d v="2025-11-11T00:00:00"/>
    <x v="3"/>
    <n v="5"/>
  </r>
  <r>
    <s v="BK0008"/>
    <x v="7"/>
    <s v="Sara Pawar"/>
    <s v="Male"/>
    <n v="36"/>
    <x v="3"/>
    <s v="Rajasthan Royal Tour"/>
    <x v="0"/>
    <n v="5"/>
    <n v="47200"/>
    <x v="1"/>
    <x v="1"/>
    <d v="2025-09-01T00:00:00"/>
    <x v="4"/>
    <n v="4"/>
  </r>
  <r>
    <s v="BK0009"/>
    <x v="8"/>
    <s v="Sara Patel"/>
    <s v="Female"/>
    <n v="49"/>
    <x v="4"/>
    <s v="Bali Beach Escape"/>
    <x v="3"/>
    <n v="2"/>
    <n v="19200"/>
    <x v="1"/>
    <x v="1"/>
    <d v="2025-10-22T00:00:00"/>
    <x v="2"/>
    <n v="5"/>
  </r>
  <r>
    <s v="BK0010"/>
    <x v="9"/>
    <s v="Aditya Desai"/>
    <s v="Male"/>
    <n v="33"/>
    <x v="3"/>
    <s v="Rajasthan Heritage"/>
    <x v="4"/>
    <n v="1"/>
    <n v="5100"/>
    <x v="2"/>
    <x v="0"/>
    <d v="2025-03-28T00:00:00"/>
    <x v="5"/>
    <n v="5"/>
  </r>
  <r>
    <s v="BK0011"/>
    <x v="10"/>
    <s v="Sara Mehta"/>
    <s v="Male"/>
    <n v="48"/>
    <x v="0"/>
    <s v="Thailand Island Tour"/>
    <x v="2"/>
    <n v="1"/>
    <n v="8300"/>
    <x v="3"/>
    <x v="0"/>
    <d v="2026-04-07T00:00:00"/>
    <x v="2"/>
    <n v="5"/>
  </r>
  <r>
    <s v="BK0012"/>
    <x v="11"/>
    <s v="Aanya Joshi"/>
    <s v="Female"/>
    <n v="42"/>
    <x v="2"/>
    <s v="Singapore Explorer"/>
    <x v="2"/>
    <n v="2"/>
    <n v="23700"/>
    <x v="3"/>
    <x v="0"/>
    <d v="2025-06-03T00:00:00"/>
    <x v="0"/>
    <n v="4"/>
  </r>
  <r>
    <s v="BK0013"/>
    <x v="12"/>
    <s v="Myra Sharma"/>
    <s v="Male"/>
    <n v="50"/>
    <x v="2"/>
    <s v="Singapore City Tour"/>
    <x v="3"/>
    <n v="1"/>
    <n v="11100"/>
    <x v="0"/>
    <x v="1"/>
    <d v="2025-05-29T00:00:00"/>
    <x v="3"/>
    <n v="4"/>
  </r>
  <r>
    <s v="BK0014"/>
    <x v="5"/>
    <s v="Kabir Mehta"/>
    <s v="Male"/>
    <n v="45"/>
    <x v="3"/>
    <s v="Rajasthan Royal Tour"/>
    <x v="0"/>
    <n v="5"/>
    <n v="45300"/>
    <x v="1"/>
    <x v="1"/>
    <d v="2025-05-26T00:00:00"/>
    <x v="0"/>
    <n v="5"/>
  </r>
  <r>
    <s v="BK0015"/>
    <x v="13"/>
    <s v="Kabir Sharma"/>
    <s v="Male"/>
    <n v="46"/>
    <x v="5"/>
    <s v="Kashmir Honeymoon"/>
    <x v="1"/>
    <n v="1"/>
    <n v="8900"/>
    <x v="3"/>
    <x v="1"/>
    <d v="2025-05-14T00:00:00"/>
    <x v="2"/>
    <n v="5"/>
  </r>
  <r>
    <s v="BK0016"/>
    <x v="14"/>
    <s v="Rohan Mehta"/>
    <s v="Male"/>
    <n v="42"/>
    <x v="5"/>
    <s v="Kashmir Valley Tour"/>
    <x v="3"/>
    <n v="5"/>
    <n v="41300"/>
    <x v="1"/>
    <x v="1"/>
    <d v="2025-05-22T00:00:00"/>
    <x v="1"/>
    <n v="5"/>
  </r>
  <r>
    <s v="BK0017"/>
    <x v="15"/>
    <s v="Ira Gupta"/>
    <s v="Female"/>
    <n v="36"/>
    <x v="4"/>
    <s v="Bali Bliss"/>
    <x v="1"/>
    <n v="3"/>
    <n v="26600"/>
    <x v="0"/>
    <x v="1"/>
    <d v="2025-09-02T00:00:00"/>
    <x v="5"/>
    <n v="4"/>
  </r>
  <r>
    <s v="BK0018"/>
    <x v="16"/>
    <s v="Vihaan Sharma"/>
    <s v="Male"/>
    <n v="47"/>
    <x v="5"/>
    <s v="Kashmir Honeymoon"/>
    <x v="1"/>
    <n v="1"/>
    <n v="10800"/>
    <x v="1"/>
    <x v="1"/>
    <d v="2025-05-18T00:00:00"/>
    <x v="2"/>
    <n v="4"/>
  </r>
  <r>
    <s v="BK0019"/>
    <x v="17"/>
    <s v="Ishaan Patel"/>
    <s v="Female"/>
    <n v="53"/>
    <x v="0"/>
    <s v="Thailand Island Tour"/>
    <x v="2"/>
    <n v="3"/>
    <n v="26700"/>
    <x v="3"/>
    <x v="0"/>
    <d v="2025-02-27T00:00:00"/>
    <x v="5"/>
    <n v="4"/>
  </r>
  <r>
    <s v="BK0020"/>
    <x v="18"/>
    <s v="Meera Mehta"/>
    <s v="Male"/>
    <n v="21"/>
    <x v="6"/>
    <s v="Dubai Deluxe"/>
    <x v="0"/>
    <n v="3"/>
    <n v="32700"/>
    <x v="1"/>
    <x v="1"/>
    <d v="2026-01-09T00:00:00"/>
    <x v="2"/>
    <n v="4"/>
  </r>
  <r>
    <s v="BK0021"/>
    <x v="19"/>
    <s v="Diya Mehta"/>
    <s v="Female"/>
    <n v="34"/>
    <x v="4"/>
    <s v="Bali Adventure"/>
    <x v="2"/>
    <n v="1"/>
    <n v="8700"/>
    <x v="2"/>
    <x v="1"/>
    <d v="2025-08-08T00:00:00"/>
    <x v="3"/>
    <n v="4"/>
  </r>
  <r>
    <s v="BK0022"/>
    <x v="20"/>
    <s v="Arjun Patel"/>
    <s v="Female"/>
    <n v="38"/>
    <x v="7"/>
    <s v="Goa Beach Paradise"/>
    <x v="3"/>
    <n v="2"/>
    <n v="11500"/>
    <x v="0"/>
    <x v="0"/>
    <d v="2025-04-05T00:00:00"/>
    <x v="2"/>
    <n v="5"/>
  </r>
  <r>
    <s v="BK0023"/>
    <x v="21"/>
    <s v="Ira Pawar"/>
    <s v="Male"/>
    <n v="41"/>
    <x v="2"/>
    <s v="Singapore Luxury"/>
    <x v="0"/>
    <n v="5"/>
    <n v="59000"/>
    <x v="1"/>
    <x v="1"/>
    <d v="2025-03-05T00:00:00"/>
    <x v="3"/>
    <n v="3"/>
  </r>
  <r>
    <s v="BK0024"/>
    <x v="22"/>
    <s v="Arjun Singh"/>
    <s v="Female"/>
    <n v="38"/>
    <x v="7"/>
    <s v="Goa Honeymoon Escape"/>
    <x v="1"/>
    <n v="6"/>
    <n v="52900"/>
    <x v="2"/>
    <x v="0"/>
    <d v="2025-10-01T00:00:00"/>
    <x v="0"/>
    <n v="5"/>
  </r>
  <r>
    <s v="BK0025"/>
    <x v="23"/>
    <s v="Rohan Joshi"/>
    <s v="Female"/>
    <n v="56"/>
    <x v="6"/>
    <s v="Dubai Adventure"/>
    <x v="2"/>
    <n v="1"/>
    <n v="10500"/>
    <x v="1"/>
    <x v="1"/>
    <d v="2025-04-29T00:00:00"/>
    <x v="5"/>
    <n v="4"/>
  </r>
  <r>
    <s v="BK0026"/>
    <x v="24"/>
    <s v="Vihaan Mehta"/>
    <s v="Male"/>
    <n v="52"/>
    <x v="2"/>
    <s v="Singapore Luxury"/>
    <x v="0"/>
    <n v="2"/>
    <n v="27800"/>
    <x v="2"/>
    <x v="0"/>
    <d v="2025-11-03T00:00:00"/>
    <x v="5"/>
    <n v="4"/>
  </r>
  <r>
    <s v="BK0027"/>
    <x v="25"/>
    <s v="Sara Pawar"/>
    <s v="Female"/>
    <n v="38"/>
    <x v="6"/>
    <s v="Dubai Deluxe"/>
    <x v="0"/>
    <n v="1"/>
    <n v="10600"/>
    <x v="3"/>
    <x v="0"/>
    <d v="2025-05-29T00:00:00"/>
    <x v="0"/>
    <n v="5"/>
  </r>
  <r>
    <s v="BK0028"/>
    <x v="26"/>
    <s v="Diya Sharma"/>
    <s v="Male"/>
    <n v="58"/>
    <x v="5"/>
    <s v="Kashmir Honeymoon"/>
    <x v="1"/>
    <n v="3"/>
    <n v="30500"/>
    <x v="3"/>
    <x v="1"/>
    <d v="2025-12-13T00:00:00"/>
    <x v="0"/>
    <n v="5"/>
  </r>
  <r>
    <s v="BK0029"/>
    <x v="27"/>
    <s v="Vihaan Joshi"/>
    <s v="Female"/>
    <n v="39"/>
    <x v="2"/>
    <s v="Singapore Explorer"/>
    <x v="2"/>
    <n v="3"/>
    <n v="35700"/>
    <x v="3"/>
    <x v="1"/>
    <d v="2025-05-10T00:00:00"/>
    <x v="1"/>
    <n v="5"/>
  </r>
  <r>
    <s v="BK0030"/>
    <x v="28"/>
    <s v="Meera Mehta"/>
    <s v="Female"/>
    <n v="18"/>
    <x v="3"/>
    <s v="Rajasthan Royal Tour"/>
    <x v="0"/>
    <n v="2"/>
    <n v="15800"/>
    <x v="1"/>
    <x v="0"/>
    <d v="2026-01-12T00:00:00"/>
    <x v="1"/>
    <n v="5"/>
  </r>
  <r>
    <s v="BK0031"/>
    <x v="29"/>
    <s v="Anaya Mehta"/>
    <s v="Male"/>
    <n v="19"/>
    <x v="6"/>
    <s v="Dubai Deluxe"/>
    <x v="0"/>
    <n v="3"/>
    <n v="35700"/>
    <x v="3"/>
    <x v="0"/>
    <d v="2026-01-09T00:00:00"/>
    <x v="5"/>
    <n v="3"/>
  </r>
  <r>
    <s v="BK0032"/>
    <x v="30"/>
    <s v="Kabir Joshi"/>
    <s v="Male"/>
    <n v="23"/>
    <x v="2"/>
    <s v="Singapore Explorer"/>
    <x v="2"/>
    <n v="5"/>
    <n v="57300"/>
    <x v="3"/>
    <x v="1"/>
    <d v="2025-09-08T00:00:00"/>
    <x v="5"/>
    <n v="4"/>
  </r>
  <r>
    <s v="BK0033"/>
    <x v="31"/>
    <s v="Aanya Joshi"/>
    <s v="Female"/>
    <n v="40"/>
    <x v="8"/>
    <s v="Andaman Escape"/>
    <x v="1"/>
    <n v="2"/>
    <n v="23000"/>
    <x v="3"/>
    <x v="1"/>
    <d v="2025-02-22T00:00:00"/>
    <x v="2"/>
    <n v="5"/>
  </r>
  <r>
    <s v="BK0034"/>
    <x v="32"/>
    <s v="Kabir Joshi"/>
    <s v="Male"/>
    <n v="29"/>
    <x v="3"/>
    <s v="Rajasthan Royal Tour"/>
    <x v="0"/>
    <n v="3"/>
    <n v="28700"/>
    <x v="1"/>
    <x v="0"/>
    <d v="2025-12-02T00:00:00"/>
    <x v="0"/>
    <n v="3"/>
  </r>
  <r>
    <s v="BK0035"/>
    <x v="33"/>
    <s v="Aanya Verma"/>
    <s v="Male"/>
    <n v="56"/>
    <x v="5"/>
    <s v="Kashmir Valley Tour"/>
    <x v="3"/>
    <n v="3"/>
    <n v="19400"/>
    <x v="3"/>
    <x v="1"/>
    <d v="2025-03-21T00:00:00"/>
    <x v="3"/>
    <n v="4"/>
  </r>
  <r>
    <s v="BK0036"/>
    <x v="34"/>
    <s v="Arjun Shah"/>
    <s v="Female"/>
    <n v="49"/>
    <x v="2"/>
    <s v="Singapore Luxury"/>
    <x v="0"/>
    <n v="5"/>
    <n v="60700"/>
    <x v="2"/>
    <x v="0"/>
    <d v="2025-04-21T00:00:00"/>
    <x v="0"/>
    <n v="5"/>
  </r>
  <r>
    <s v="BK0037"/>
    <x v="35"/>
    <s v="Aditya Gupta"/>
    <s v="Female"/>
    <n v="34"/>
    <x v="3"/>
    <s v="Rajasthan Royal Tour"/>
    <x v="0"/>
    <n v="1"/>
    <n v="7700"/>
    <x v="3"/>
    <x v="1"/>
    <d v="2026-02-02T00:00:00"/>
    <x v="1"/>
    <n v="5"/>
  </r>
  <r>
    <s v="BK0038"/>
    <x v="36"/>
    <s v="Kiara Shah"/>
    <s v="Male"/>
    <n v="30"/>
    <x v="0"/>
    <s v="Thailand Luxury"/>
    <x v="0"/>
    <n v="6"/>
    <n v="75100"/>
    <x v="0"/>
    <x v="1"/>
    <d v="2025-10-14T00:00:00"/>
    <x v="2"/>
    <n v="5"/>
  </r>
  <r>
    <s v="BK0039"/>
    <x v="37"/>
    <s v="Ira Desai"/>
    <s v="Male"/>
    <n v="45"/>
    <x v="2"/>
    <s v="Singapore Explorer"/>
    <x v="2"/>
    <n v="4"/>
    <n v="38500"/>
    <x v="1"/>
    <x v="1"/>
    <d v="2025-10-20T00:00:00"/>
    <x v="4"/>
    <n v="4"/>
  </r>
  <r>
    <s v="BK0040"/>
    <x v="38"/>
    <s v="Vihaan Shah"/>
    <s v="Male"/>
    <n v="53"/>
    <x v="4"/>
    <s v="Bali Bliss"/>
    <x v="1"/>
    <n v="5"/>
    <n v="50700"/>
    <x v="2"/>
    <x v="1"/>
    <d v="2025-09-29T00:00:00"/>
    <x v="5"/>
    <n v="4"/>
  </r>
  <r>
    <s v="BK0041"/>
    <x v="39"/>
    <s v="Meera Shah"/>
    <s v="Male"/>
    <n v="49"/>
    <x v="2"/>
    <s v="Singapore City Tour"/>
    <x v="3"/>
    <n v="5"/>
    <n v="53700"/>
    <x v="3"/>
    <x v="1"/>
    <d v="2025-09-15T00:00:00"/>
    <x v="2"/>
    <n v="4"/>
  </r>
  <r>
    <s v="BK0042"/>
    <x v="40"/>
    <s v="Anaya Mehta"/>
    <s v="Female"/>
    <n v="55"/>
    <x v="6"/>
    <s v="Dubai Deluxe"/>
    <x v="0"/>
    <n v="3"/>
    <n v="37700"/>
    <x v="0"/>
    <x v="1"/>
    <d v="2025-11-16T00:00:00"/>
    <x v="1"/>
    <n v="4"/>
  </r>
  <r>
    <s v="BK0043"/>
    <x v="21"/>
    <s v="Anaya Shah"/>
    <s v="Male"/>
    <n v="31"/>
    <x v="9"/>
    <s v="Kerala Nature Retreat"/>
    <x v="2"/>
    <n v="1"/>
    <n v="8400"/>
    <x v="0"/>
    <x v="0"/>
    <d v="2025-03-03T00:00:00"/>
    <x v="5"/>
    <n v="5"/>
  </r>
  <r>
    <s v="BK0044"/>
    <x v="41"/>
    <s v="Arjun Mehta"/>
    <s v="Female"/>
    <n v="32"/>
    <x v="5"/>
    <s v="Kashmir Valley Tour"/>
    <x v="3"/>
    <n v="5"/>
    <n v="40000"/>
    <x v="0"/>
    <x v="1"/>
    <d v="2025-05-05T00:00:00"/>
    <x v="2"/>
    <n v="4"/>
  </r>
  <r>
    <s v="BK0045"/>
    <x v="42"/>
    <s v="Rohan Patel"/>
    <s v="Male"/>
    <n v="35"/>
    <x v="1"/>
    <s v="Manali Adventure"/>
    <x v="2"/>
    <n v="4"/>
    <n v="31500"/>
    <x v="0"/>
    <x v="1"/>
    <d v="2025-07-08T00:00:00"/>
    <x v="5"/>
    <n v="5"/>
  </r>
  <r>
    <s v="BK0046"/>
    <x v="43"/>
    <s v="Sara Singh"/>
    <s v="Female"/>
    <n v="38"/>
    <x v="3"/>
    <s v="Rajasthan Royal Tour"/>
    <x v="0"/>
    <n v="3"/>
    <n v="25100"/>
    <x v="1"/>
    <x v="1"/>
    <d v="2025-07-27T00:00:00"/>
    <x v="1"/>
    <n v="4"/>
  </r>
  <r>
    <s v="BK0047"/>
    <x v="44"/>
    <s v="Anaya Joshi"/>
    <s v="Female"/>
    <n v="37"/>
    <x v="0"/>
    <s v="Thailand Family Escape"/>
    <x v="3"/>
    <n v="4"/>
    <n v="28600"/>
    <x v="3"/>
    <x v="0"/>
    <d v="2025-09-17T00:00:00"/>
    <x v="1"/>
    <n v="5"/>
  </r>
  <r>
    <s v="BK0048"/>
    <x v="45"/>
    <s v="Diya Gupta"/>
    <s v="Female"/>
    <n v="60"/>
    <x v="5"/>
    <s v="Kashmir Honeymoon"/>
    <x v="1"/>
    <n v="4"/>
    <n v="40500"/>
    <x v="1"/>
    <x v="1"/>
    <d v="2025-12-27T00:00:00"/>
    <x v="4"/>
    <n v="5"/>
  </r>
  <r>
    <s v="BK0049"/>
    <x v="46"/>
    <s v="Arjun Desai"/>
    <s v="Male"/>
    <n v="19"/>
    <x v="4"/>
    <s v="Bali Adventure"/>
    <x v="2"/>
    <n v="5"/>
    <n v="51300"/>
    <x v="0"/>
    <x v="1"/>
    <d v="2025-05-03T00:00:00"/>
    <x v="1"/>
    <n v="5"/>
  </r>
  <r>
    <s v="BK0050"/>
    <x v="47"/>
    <s v="Anaya Gupta"/>
    <s v="Male"/>
    <n v="53"/>
    <x v="6"/>
    <s v="Dubai Adventure"/>
    <x v="2"/>
    <n v="2"/>
    <n v="25700"/>
    <x v="1"/>
    <x v="1"/>
    <d v="2025-12-26T00:00:00"/>
    <x v="1"/>
    <n v="5"/>
  </r>
  <r>
    <s v="BK0051"/>
    <x v="48"/>
    <s v="Rohan Mehta"/>
    <s v="Male"/>
    <n v="60"/>
    <x v="9"/>
    <s v="Kerala Backwaters"/>
    <x v="3"/>
    <n v="5"/>
    <n v="36600"/>
    <x v="2"/>
    <x v="1"/>
    <d v="2025-11-15T00:00:00"/>
    <x v="3"/>
    <n v="5"/>
  </r>
  <r>
    <s v="BK0052"/>
    <x v="49"/>
    <s v="Rohan Gupta"/>
    <s v="Male"/>
    <n v="29"/>
    <x v="6"/>
    <s v="Dubai City Explorer"/>
    <x v="3"/>
    <n v="5"/>
    <n v="57100"/>
    <x v="2"/>
    <x v="1"/>
    <d v="2025-07-05T00:00:00"/>
    <x v="0"/>
    <n v="4"/>
  </r>
  <r>
    <s v="BK0053"/>
    <x v="50"/>
    <s v="Myra Joshi"/>
    <s v="Male"/>
    <n v="47"/>
    <x v="3"/>
    <s v="Rajasthan Heritage"/>
    <x v="4"/>
    <n v="3"/>
    <n v="16500"/>
    <x v="0"/>
    <x v="1"/>
    <d v="2026-01-02T00:00:00"/>
    <x v="0"/>
    <n v="5"/>
  </r>
  <r>
    <s v="BK0054"/>
    <x v="51"/>
    <s v="Anaya Shah"/>
    <s v="Male"/>
    <n v="28"/>
    <x v="3"/>
    <s v="Rajasthan Heritage"/>
    <x v="4"/>
    <n v="1"/>
    <n v="5300"/>
    <x v="3"/>
    <x v="1"/>
    <d v="2025-03-23T00:00:00"/>
    <x v="2"/>
    <n v="4"/>
  </r>
  <r>
    <s v="BK0055"/>
    <x v="52"/>
    <s v="Ishaan Shah"/>
    <s v="Male"/>
    <n v="52"/>
    <x v="9"/>
    <s v="Kerala Backwaters"/>
    <x v="3"/>
    <n v="6"/>
    <n v="49200"/>
    <x v="0"/>
    <x v="1"/>
    <d v="2025-06-02T00:00:00"/>
    <x v="3"/>
    <n v="5"/>
  </r>
  <r>
    <s v="BK0056"/>
    <x v="42"/>
    <s v="Ishaan Verma"/>
    <s v="Male"/>
    <n v="23"/>
    <x v="3"/>
    <s v="Rajasthan Royal Tour"/>
    <x v="0"/>
    <n v="1"/>
    <n v="9700"/>
    <x v="1"/>
    <x v="0"/>
    <d v="2025-09-11T00:00:00"/>
    <x v="0"/>
    <n v="4"/>
  </r>
  <r>
    <s v="BK0057"/>
    <x v="53"/>
    <s v="Rohan Singh"/>
    <s v="Female"/>
    <n v="41"/>
    <x v="2"/>
    <s v="Singapore City Tour"/>
    <x v="3"/>
    <n v="4"/>
    <n v="34900"/>
    <x v="0"/>
    <x v="1"/>
    <d v="2025-06-22T00:00:00"/>
    <x v="5"/>
    <n v="4"/>
  </r>
  <r>
    <s v="BK0058"/>
    <x v="54"/>
    <s v="Rohan Joshi"/>
    <s v="Male"/>
    <n v="40"/>
    <x v="0"/>
    <s v="Thailand Family Escape"/>
    <x v="3"/>
    <n v="2"/>
    <n v="13900"/>
    <x v="0"/>
    <x v="1"/>
    <d v="2025-08-12T00:00:00"/>
    <x v="2"/>
    <n v="5"/>
  </r>
  <r>
    <s v="BK0059"/>
    <x v="55"/>
    <s v="Aditya Gupta"/>
    <s v="Female"/>
    <n v="40"/>
    <x v="5"/>
    <s v="Kashmir Honeymoon"/>
    <x v="1"/>
    <n v="3"/>
    <n v="33400"/>
    <x v="2"/>
    <x v="1"/>
    <d v="2026-02-06T00:00:00"/>
    <x v="4"/>
    <n v="3"/>
  </r>
  <r>
    <s v="BK0060"/>
    <x v="31"/>
    <s v="Kiara Desai"/>
    <s v="Female"/>
    <n v="57"/>
    <x v="1"/>
    <s v="Manali Adventure"/>
    <x v="2"/>
    <n v="4"/>
    <n v="30200"/>
    <x v="0"/>
    <x v="0"/>
    <d v="2025-01-31T00:00:00"/>
    <x v="0"/>
    <n v="5"/>
  </r>
  <r>
    <s v="BK0061"/>
    <x v="56"/>
    <s v="Anaya Sharma"/>
    <s v="Male"/>
    <n v="22"/>
    <x v="7"/>
    <s v="Goa Beach Paradise"/>
    <x v="3"/>
    <n v="4"/>
    <n v="23600"/>
    <x v="2"/>
    <x v="1"/>
    <d v="2025-06-16T00:00:00"/>
    <x v="0"/>
    <n v="4"/>
  </r>
  <r>
    <s v="BK0062"/>
    <x v="57"/>
    <s v="Vihaan Pawar"/>
    <s v="Male"/>
    <n v="50"/>
    <x v="9"/>
    <s v="Kerala Honeymoon Escape"/>
    <x v="1"/>
    <n v="6"/>
    <n v="63400"/>
    <x v="1"/>
    <x v="1"/>
    <d v="2025-09-11T00:00:00"/>
    <x v="1"/>
    <n v="4"/>
  </r>
  <r>
    <s v="BK0063"/>
    <x v="58"/>
    <s v="Kiara Gupta"/>
    <s v="Male"/>
    <n v="49"/>
    <x v="3"/>
    <s v="Rajasthan Heritage"/>
    <x v="4"/>
    <n v="1"/>
    <n v="6100"/>
    <x v="3"/>
    <x v="1"/>
    <d v="2025-07-14T00:00:00"/>
    <x v="4"/>
    <n v="5"/>
  </r>
  <r>
    <s v="BK0064"/>
    <x v="59"/>
    <s v="Meera Desai"/>
    <s v="Male"/>
    <n v="40"/>
    <x v="4"/>
    <s v="Bali Bliss"/>
    <x v="1"/>
    <n v="5"/>
    <n v="46300"/>
    <x v="3"/>
    <x v="0"/>
    <d v="2025-04-04T00:00:00"/>
    <x v="5"/>
    <n v="4"/>
  </r>
  <r>
    <s v="BK0065"/>
    <x v="60"/>
    <s v="Kiara Patel"/>
    <s v="Male"/>
    <n v="44"/>
    <x v="8"/>
    <s v="Andaman Escape"/>
    <x v="1"/>
    <n v="5"/>
    <n v="46600"/>
    <x v="0"/>
    <x v="1"/>
    <d v="2025-05-30T00:00:00"/>
    <x v="0"/>
    <n v="3"/>
  </r>
  <r>
    <s v="BK0066"/>
    <x v="61"/>
    <s v="Kabir Sharma"/>
    <s v="Male"/>
    <n v="58"/>
    <x v="5"/>
    <s v="Kashmir Honeymoon"/>
    <x v="1"/>
    <n v="3"/>
    <n v="25800"/>
    <x v="2"/>
    <x v="1"/>
    <d v="2025-06-13T00:00:00"/>
    <x v="2"/>
    <n v="3"/>
  </r>
  <r>
    <s v="BK0067"/>
    <x v="62"/>
    <s v="Sara Sharma"/>
    <s v="Female"/>
    <n v="23"/>
    <x v="3"/>
    <s v="Rajasthan Heritage"/>
    <x v="4"/>
    <n v="2"/>
    <n v="12500"/>
    <x v="3"/>
    <x v="1"/>
    <d v="2026-02-02T00:00:00"/>
    <x v="0"/>
    <n v="3"/>
  </r>
  <r>
    <s v="BK0068"/>
    <x v="63"/>
    <s v="Kabir Joshi"/>
    <s v="Male"/>
    <n v="49"/>
    <x v="7"/>
    <s v="Goa Honeymoon Escape"/>
    <x v="1"/>
    <n v="3"/>
    <n v="24300"/>
    <x v="2"/>
    <x v="0"/>
    <d v="2026-01-04T00:00:00"/>
    <x v="0"/>
    <n v="5"/>
  </r>
  <r>
    <s v="BK0069"/>
    <x v="64"/>
    <s v="Kiara Joshi"/>
    <s v="Male"/>
    <n v="46"/>
    <x v="1"/>
    <s v="Manali Snow Escape"/>
    <x v="3"/>
    <n v="1"/>
    <n v="5500"/>
    <x v="3"/>
    <x v="1"/>
    <d v="2025-10-02T00:00:00"/>
    <x v="0"/>
    <n v="5"/>
  </r>
  <r>
    <s v="BK0070"/>
    <x v="65"/>
    <s v="Kabir Gupta"/>
    <s v="Male"/>
    <n v="19"/>
    <x v="0"/>
    <s v="Thailand Family Escape"/>
    <x v="3"/>
    <n v="3"/>
    <n v="26800"/>
    <x v="1"/>
    <x v="1"/>
    <d v="2025-12-27T00:00:00"/>
    <x v="0"/>
    <n v="5"/>
  </r>
  <r>
    <s v="BK0071"/>
    <x v="66"/>
    <s v="Rohan Shah"/>
    <s v="Male"/>
    <n v="49"/>
    <x v="5"/>
    <s v="Kashmir Valley Tour"/>
    <x v="3"/>
    <n v="4"/>
    <n v="32900"/>
    <x v="2"/>
    <x v="1"/>
    <d v="2025-10-25T00:00:00"/>
    <x v="1"/>
    <n v="3"/>
  </r>
  <r>
    <s v="BK0072"/>
    <x v="55"/>
    <s v="Myra Patel"/>
    <s v="Male"/>
    <n v="59"/>
    <x v="3"/>
    <s v="Rajasthan Royal Tour"/>
    <x v="0"/>
    <n v="6"/>
    <n v="53600"/>
    <x v="1"/>
    <x v="1"/>
    <d v="2026-01-14T00:00:00"/>
    <x v="1"/>
    <n v="5"/>
  </r>
  <r>
    <s v="BK0073"/>
    <x v="67"/>
    <s v="Aarav Sharma"/>
    <s v="Female"/>
    <n v="29"/>
    <x v="8"/>
    <s v="Andaman Escape"/>
    <x v="1"/>
    <n v="3"/>
    <n v="33100"/>
    <x v="0"/>
    <x v="0"/>
    <d v="2025-06-24T00:00:00"/>
    <x v="0"/>
    <n v="5"/>
  </r>
  <r>
    <s v="BK0074"/>
    <x v="68"/>
    <s v="Aarav Desai"/>
    <s v="Female"/>
    <n v="27"/>
    <x v="8"/>
    <s v="Andaman Island Tour"/>
    <x v="2"/>
    <n v="1"/>
    <n v="8100"/>
    <x v="0"/>
    <x v="1"/>
    <d v="2025-04-01T00:00:00"/>
    <x v="1"/>
    <n v="5"/>
  </r>
  <r>
    <s v="BK0075"/>
    <x v="27"/>
    <s v="Arjun Patel"/>
    <s v="Male"/>
    <n v="38"/>
    <x v="2"/>
    <s v="Singapore Explorer"/>
    <x v="2"/>
    <n v="6"/>
    <n v="53900"/>
    <x v="0"/>
    <x v="1"/>
    <d v="2025-07-12T00:00:00"/>
    <x v="1"/>
    <n v="5"/>
  </r>
  <r>
    <s v="BK0076"/>
    <x v="69"/>
    <s v="Meera Gupta"/>
    <s v="Female"/>
    <n v="38"/>
    <x v="3"/>
    <s v="Rajasthan Royal Tour"/>
    <x v="0"/>
    <n v="3"/>
    <n v="25900"/>
    <x v="3"/>
    <x v="1"/>
    <d v="2025-11-06T00:00:00"/>
    <x v="5"/>
    <n v="3"/>
  </r>
  <r>
    <s v="BK0077"/>
    <x v="70"/>
    <s v="Diya Mehta"/>
    <s v="Male"/>
    <n v="32"/>
    <x v="4"/>
    <s v="Bali Adventure"/>
    <x v="2"/>
    <n v="4"/>
    <n v="34100"/>
    <x v="0"/>
    <x v="1"/>
    <d v="2025-07-12T00:00:00"/>
    <x v="3"/>
    <n v="5"/>
  </r>
  <r>
    <s v="BK0078"/>
    <x v="71"/>
    <s v="Kiara Singh"/>
    <s v="Female"/>
    <n v="46"/>
    <x v="9"/>
    <s v="Kerala Nature Retreat"/>
    <x v="2"/>
    <n v="5"/>
    <n v="37900"/>
    <x v="3"/>
    <x v="1"/>
    <d v="2025-10-02T00:00:00"/>
    <x v="3"/>
    <n v="3"/>
  </r>
  <r>
    <s v="BK0079"/>
    <x v="50"/>
    <s v="Rohan Gupta"/>
    <s v="Female"/>
    <n v="58"/>
    <x v="9"/>
    <s v="Kerala Honeymoon Escape"/>
    <x v="1"/>
    <n v="2"/>
    <n v="20900"/>
    <x v="0"/>
    <x v="1"/>
    <d v="2026-02-08T00:00:00"/>
    <x v="3"/>
    <n v="5"/>
  </r>
  <r>
    <s v="BK0080"/>
    <x v="72"/>
    <s v="Meera Verma"/>
    <s v="Female"/>
    <n v="60"/>
    <x v="5"/>
    <s v="Kashmir Honeymoon"/>
    <x v="1"/>
    <n v="5"/>
    <n v="46000"/>
    <x v="1"/>
    <x v="1"/>
    <d v="2026-02-13T00:00:00"/>
    <x v="1"/>
    <n v="5"/>
  </r>
  <r>
    <s v="BK0081"/>
    <x v="73"/>
    <s v="Myra Verma"/>
    <s v="Female"/>
    <n v="40"/>
    <x v="2"/>
    <s v="Singapore Explorer"/>
    <x v="2"/>
    <n v="4"/>
    <n v="40600"/>
    <x v="2"/>
    <x v="1"/>
    <d v="2025-02-13T00:00:00"/>
    <x v="0"/>
    <n v="4"/>
  </r>
  <r>
    <s v="BK0082"/>
    <x v="63"/>
    <s v="Ishaan Shah"/>
    <s v="Male"/>
    <n v="52"/>
    <x v="2"/>
    <s v="Singapore Luxury"/>
    <x v="0"/>
    <n v="2"/>
    <n v="25300"/>
    <x v="2"/>
    <x v="1"/>
    <d v="2025-12-04T00:00:00"/>
    <x v="0"/>
    <n v="4"/>
  </r>
  <r>
    <s v="BK0083"/>
    <x v="74"/>
    <s v="Arjun Pawar"/>
    <s v="Male"/>
    <n v="38"/>
    <x v="8"/>
    <s v="Andaman Island Tour"/>
    <x v="2"/>
    <n v="6"/>
    <n v="55900"/>
    <x v="1"/>
    <x v="1"/>
    <d v="2025-09-11T00:00:00"/>
    <x v="4"/>
    <n v="5"/>
  </r>
  <r>
    <s v="BK0084"/>
    <x v="75"/>
    <s v="Arjun Verma"/>
    <s v="Female"/>
    <n v="39"/>
    <x v="6"/>
    <s v="Dubai City Explorer"/>
    <x v="3"/>
    <n v="6"/>
    <n v="63300"/>
    <x v="3"/>
    <x v="1"/>
    <d v="2025-12-22T00:00:00"/>
    <x v="3"/>
    <n v="4"/>
  </r>
  <r>
    <s v="BK0085"/>
    <x v="38"/>
    <s v="Meera Mehta"/>
    <s v="Male"/>
    <n v="19"/>
    <x v="3"/>
    <s v="Rajasthan Heritage"/>
    <x v="4"/>
    <n v="5"/>
    <n v="32400"/>
    <x v="0"/>
    <x v="1"/>
    <d v="2025-12-13T00:00:00"/>
    <x v="4"/>
    <n v="4"/>
  </r>
  <r>
    <s v="BK0086"/>
    <x v="76"/>
    <s v="Vivaan Pawar"/>
    <s v="Male"/>
    <n v="45"/>
    <x v="3"/>
    <s v="Rajasthan Royal Tour"/>
    <x v="0"/>
    <n v="3"/>
    <n v="28200"/>
    <x v="2"/>
    <x v="1"/>
    <d v="2025-05-10T00:00:00"/>
    <x v="5"/>
    <n v="5"/>
  </r>
  <r>
    <s v="BK0087"/>
    <x v="77"/>
    <s v="Rohan Desai"/>
    <s v="Female"/>
    <n v="34"/>
    <x v="1"/>
    <s v="Manali Couple Retreat"/>
    <x v="1"/>
    <n v="2"/>
    <n v="15000"/>
    <x v="0"/>
    <x v="1"/>
    <d v="2025-11-09T00:00:00"/>
    <x v="0"/>
    <n v="4"/>
  </r>
  <r>
    <s v="BK0088"/>
    <x v="78"/>
    <s v="Anaya Shah"/>
    <s v="Female"/>
    <n v="57"/>
    <x v="2"/>
    <s v="Singapore Explorer"/>
    <x v="2"/>
    <n v="1"/>
    <n v="10700"/>
    <x v="1"/>
    <x v="1"/>
    <d v="2025-05-20T00:00:00"/>
    <x v="5"/>
    <n v="5"/>
  </r>
  <r>
    <s v="BK0089"/>
    <x v="79"/>
    <s v="Anaya Joshi"/>
    <s v="Female"/>
    <n v="36"/>
    <x v="2"/>
    <s v="Singapore Luxury"/>
    <x v="0"/>
    <n v="1"/>
    <n v="13100"/>
    <x v="0"/>
    <x v="1"/>
    <d v="2025-10-31T00:00:00"/>
    <x v="2"/>
    <n v="5"/>
  </r>
  <r>
    <s v="BK0090"/>
    <x v="80"/>
    <s v="Aanya Singh"/>
    <s v="Female"/>
    <n v="25"/>
    <x v="3"/>
    <s v="Rajasthan Heritage"/>
    <x v="4"/>
    <n v="3"/>
    <n v="19600"/>
    <x v="3"/>
    <x v="1"/>
    <d v="2025-12-01T00:00:00"/>
    <x v="5"/>
    <n v="5"/>
  </r>
  <r>
    <s v="BK0091"/>
    <x v="81"/>
    <s v="Diya Pawar"/>
    <s v="Female"/>
    <n v="57"/>
    <x v="0"/>
    <s v="Thailand Luxury"/>
    <x v="0"/>
    <n v="6"/>
    <n v="60500"/>
    <x v="0"/>
    <x v="0"/>
    <d v="2026-02-16T00:00:00"/>
    <x v="2"/>
    <n v="4"/>
  </r>
  <r>
    <s v="BK0092"/>
    <x v="82"/>
    <s v="Kiara Shah"/>
    <s v="Male"/>
    <n v="40"/>
    <x v="2"/>
    <s v="Singapore Explorer"/>
    <x v="2"/>
    <n v="4"/>
    <n v="43100"/>
    <x v="0"/>
    <x v="1"/>
    <d v="2025-10-26T00:00:00"/>
    <x v="3"/>
    <n v="5"/>
  </r>
  <r>
    <s v="BK0093"/>
    <x v="83"/>
    <s v="Aarav Singh"/>
    <s v="Male"/>
    <n v="25"/>
    <x v="0"/>
    <s v="Thailand Family Escape"/>
    <x v="3"/>
    <n v="4"/>
    <n v="27200"/>
    <x v="1"/>
    <x v="1"/>
    <d v="2025-02-15T00:00:00"/>
    <x v="1"/>
    <n v="4"/>
  </r>
  <r>
    <s v="BK0094"/>
    <x v="84"/>
    <s v="Aditya Verma"/>
    <s v="Male"/>
    <n v="21"/>
    <x v="4"/>
    <s v="Bali Bliss"/>
    <x v="1"/>
    <n v="2"/>
    <n v="18000"/>
    <x v="1"/>
    <x v="0"/>
    <d v="2026-03-16T00:00:00"/>
    <x v="1"/>
    <n v="4"/>
  </r>
  <r>
    <s v="BK0095"/>
    <x v="85"/>
    <s v="Meera Verma"/>
    <s v="Male"/>
    <n v="22"/>
    <x v="5"/>
    <s v="Kashmir Valley Tour"/>
    <x v="3"/>
    <n v="3"/>
    <n v="19800"/>
    <x v="2"/>
    <x v="1"/>
    <d v="2026-01-31T00:00:00"/>
    <x v="2"/>
    <n v="5"/>
  </r>
  <r>
    <s v="BK0096"/>
    <x v="86"/>
    <s v="Aanya Pawar"/>
    <s v="Female"/>
    <n v="53"/>
    <x v="6"/>
    <s v="Dubai City Explorer"/>
    <x v="3"/>
    <n v="5"/>
    <n v="57800"/>
    <x v="0"/>
    <x v="1"/>
    <d v="2025-02-01T00:00:00"/>
    <x v="1"/>
    <n v="4"/>
  </r>
  <r>
    <s v="BK0097"/>
    <x v="87"/>
    <s v="Vivaan Patel"/>
    <s v="Female"/>
    <n v="54"/>
    <x v="5"/>
    <s v="Kashmir Valley Tour"/>
    <x v="3"/>
    <n v="5"/>
    <n v="36000"/>
    <x v="0"/>
    <x v="1"/>
    <d v="2025-07-19T00:00:00"/>
    <x v="2"/>
    <n v="5"/>
  </r>
  <r>
    <s v="BK0098"/>
    <x v="88"/>
    <s v="Anaya Gupta"/>
    <s v="Male"/>
    <n v="31"/>
    <x v="4"/>
    <s v="Bali Bliss"/>
    <x v="1"/>
    <n v="2"/>
    <n v="19200"/>
    <x v="1"/>
    <x v="1"/>
    <d v="2025-04-15T00:00:00"/>
    <x v="2"/>
    <n v="4"/>
  </r>
  <r>
    <s v="BK0099"/>
    <x v="89"/>
    <s v="Kiara Patel"/>
    <s v="Male"/>
    <n v="41"/>
    <x v="9"/>
    <s v="Kerala Honeymoon Escape"/>
    <x v="1"/>
    <n v="4"/>
    <n v="33200"/>
    <x v="2"/>
    <x v="1"/>
    <d v="2025-05-10T00:00:00"/>
    <x v="0"/>
    <n v="4"/>
  </r>
  <r>
    <s v="BK0100"/>
    <x v="90"/>
    <s v="Aditya Verma"/>
    <s v="Female"/>
    <n v="53"/>
    <x v="1"/>
    <s v="Manali Couple Retreat"/>
    <x v="1"/>
    <n v="5"/>
    <n v="44600"/>
    <x v="1"/>
    <x v="1"/>
    <d v="2025-06-09T00:00:00"/>
    <x v="0"/>
    <n v="4"/>
  </r>
  <r>
    <s v="BK0101"/>
    <x v="91"/>
    <s v="Sara Shah"/>
    <s v="Male"/>
    <n v="30"/>
    <x v="1"/>
    <s v="Manali Couple Retreat"/>
    <x v="1"/>
    <n v="3"/>
    <n v="26900"/>
    <x v="3"/>
    <x v="1"/>
    <d v="2025-07-16T00:00:00"/>
    <x v="4"/>
    <n v="5"/>
  </r>
  <r>
    <s v="BK0102"/>
    <x v="92"/>
    <s v="Vivaan Joshi"/>
    <s v="Female"/>
    <n v="32"/>
    <x v="6"/>
    <s v="Dubai Adventure"/>
    <x v="2"/>
    <n v="3"/>
    <n v="38600"/>
    <x v="1"/>
    <x v="1"/>
    <d v="2026-01-28T00:00:00"/>
    <x v="4"/>
    <n v="5"/>
  </r>
  <r>
    <s v="BK0103"/>
    <x v="27"/>
    <s v="Arjun Verma"/>
    <s v="Female"/>
    <n v="25"/>
    <x v="4"/>
    <s v="Bali Beach Escape"/>
    <x v="3"/>
    <n v="4"/>
    <n v="37600"/>
    <x v="1"/>
    <x v="1"/>
    <d v="2025-04-04T00:00:00"/>
    <x v="1"/>
    <n v="4"/>
  </r>
  <r>
    <s v="BK0104"/>
    <x v="93"/>
    <s v="Aanya Pawar"/>
    <s v="Male"/>
    <n v="30"/>
    <x v="6"/>
    <s v="Dubai Adventure"/>
    <x v="2"/>
    <n v="1"/>
    <n v="13300"/>
    <x v="3"/>
    <x v="0"/>
    <d v="2025-06-10T00:00:00"/>
    <x v="4"/>
    <n v="5"/>
  </r>
  <r>
    <s v="BK0105"/>
    <x v="94"/>
    <s v="Sara Joshi"/>
    <s v="Female"/>
    <n v="39"/>
    <x v="7"/>
    <s v="Goa Adventure"/>
    <x v="2"/>
    <n v="3"/>
    <n v="20400"/>
    <x v="3"/>
    <x v="1"/>
    <d v="2025-06-05T00:00:00"/>
    <x v="2"/>
    <n v="5"/>
  </r>
  <r>
    <s v="BK0106"/>
    <x v="95"/>
    <s v="Diya Shah"/>
    <s v="Male"/>
    <n v="52"/>
    <x v="3"/>
    <s v="Rajasthan Royal Tour"/>
    <x v="0"/>
    <n v="1"/>
    <n v="9100"/>
    <x v="1"/>
    <x v="0"/>
    <d v="2025-12-07T00:00:00"/>
    <x v="5"/>
    <n v="4"/>
  </r>
  <r>
    <s v="BK0107"/>
    <x v="96"/>
    <s v="Aarav Pawar"/>
    <s v="Female"/>
    <n v="21"/>
    <x v="5"/>
    <s v="Kashmir Valley Tour"/>
    <x v="3"/>
    <n v="6"/>
    <n v="46400"/>
    <x v="2"/>
    <x v="1"/>
    <d v="2025-08-20T00:00:00"/>
    <x v="2"/>
    <n v="4"/>
  </r>
  <r>
    <s v="BK0108"/>
    <x v="16"/>
    <s v="Meera Verma"/>
    <s v="Male"/>
    <n v="35"/>
    <x v="0"/>
    <s v="Thailand Island Tour"/>
    <x v="2"/>
    <n v="3"/>
    <n v="23300"/>
    <x v="3"/>
    <x v="1"/>
    <d v="2025-06-05T00:00:00"/>
    <x v="4"/>
    <n v="4"/>
  </r>
  <r>
    <s v="BK0109"/>
    <x v="79"/>
    <s v="Rohan Verma"/>
    <s v="Female"/>
    <n v="29"/>
    <x v="3"/>
    <s v="Rajasthan Royal Tour"/>
    <x v="0"/>
    <n v="2"/>
    <n v="17000"/>
    <x v="1"/>
    <x v="1"/>
    <d v="2025-11-10T00:00:00"/>
    <x v="1"/>
    <n v="5"/>
  </r>
  <r>
    <s v="BK0110"/>
    <x v="18"/>
    <s v="Myra Verma"/>
    <s v="Female"/>
    <n v="34"/>
    <x v="2"/>
    <s v="Singapore City Tour"/>
    <x v="3"/>
    <n v="1"/>
    <n v="9800"/>
    <x v="1"/>
    <x v="1"/>
    <d v="2026-01-20T00:00:00"/>
    <x v="2"/>
    <n v="5"/>
  </r>
  <r>
    <s v="BK0111"/>
    <x v="36"/>
    <s v="Kabir Patel"/>
    <s v="Female"/>
    <n v="29"/>
    <x v="5"/>
    <s v="Kashmir Valley Tour"/>
    <x v="3"/>
    <n v="2"/>
    <n v="15900"/>
    <x v="3"/>
    <x v="1"/>
    <d v="2025-08-04T00:00:00"/>
    <x v="5"/>
    <n v="4"/>
  </r>
  <r>
    <s v="BK0112"/>
    <x v="97"/>
    <s v="Aanya Patel"/>
    <s v="Male"/>
    <n v="35"/>
    <x v="7"/>
    <s v="Goa Honeymoon Escape"/>
    <x v="1"/>
    <n v="6"/>
    <n v="61900"/>
    <x v="0"/>
    <x v="1"/>
    <d v="2025-11-25T00:00:00"/>
    <x v="4"/>
    <n v="5"/>
  </r>
  <r>
    <s v="BK0113"/>
    <x v="98"/>
    <s v="Aditya Patel"/>
    <s v="Female"/>
    <n v="25"/>
    <x v="5"/>
    <s v="Kashmir Honeymoon"/>
    <x v="1"/>
    <n v="6"/>
    <n v="55500"/>
    <x v="2"/>
    <x v="0"/>
    <d v="2026-01-21T00:00:00"/>
    <x v="0"/>
    <n v="4"/>
  </r>
  <r>
    <s v="BK0114"/>
    <x v="99"/>
    <s v="Anaya Sharma"/>
    <s v="Female"/>
    <n v="28"/>
    <x v="8"/>
    <s v="Andaman Island Tour"/>
    <x v="2"/>
    <n v="2"/>
    <n v="17300"/>
    <x v="1"/>
    <x v="1"/>
    <d v="2025-07-28T00:00:00"/>
    <x v="1"/>
    <n v="5"/>
  </r>
  <r>
    <s v="BK0115"/>
    <x v="78"/>
    <s v="Kiara Sharma"/>
    <s v="Male"/>
    <n v="43"/>
    <x v="5"/>
    <s v="Kashmir Valley Tour"/>
    <x v="3"/>
    <n v="3"/>
    <n v="24200"/>
    <x v="2"/>
    <x v="0"/>
    <d v="2025-04-03T00:00:00"/>
    <x v="1"/>
    <n v="5"/>
  </r>
  <r>
    <s v="BK0116"/>
    <x v="100"/>
    <s v="Vivaan Sharma"/>
    <s v="Male"/>
    <n v="58"/>
    <x v="7"/>
    <s v="Goa Adventure"/>
    <x v="2"/>
    <n v="5"/>
    <n v="33000"/>
    <x v="1"/>
    <x v="1"/>
    <d v="2025-12-29T00:00:00"/>
    <x v="4"/>
    <n v="4"/>
  </r>
  <r>
    <s v="BK0117"/>
    <x v="101"/>
    <s v="Ishaan Desai"/>
    <s v="Male"/>
    <n v="49"/>
    <x v="8"/>
    <s v="Andaman Escape"/>
    <x v="1"/>
    <n v="4"/>
    <n v="44400"/>
    <x v="3"/>
    <x v="1"/>
    <d v="2025-01-21T00:00:00"/>
    <x v="3"/>
    <n v="4"/>
  </r>
  <r>
    <s v="BK0118"/>
    <x v="102"/>
    <s v="Sara Gupta"/>
    <s v="Male"/>
    <n v="44"/>
    <x v="7"/>
    <s v="Goa Honeymoon Escape"/>
    <x v="1"/>
    <n v="5"/>
    <n v="52900"/>
    <x v="0"/>
    <x v="1"/>
    <d v="2025-05-03T00:00:00"/>
    <x v="3"/>
    <n v="4"/>
  </r>
  <r>
    <s v="BK0119"/>
    <x v="103"/>
    <s v="Vihaan Joshi"/>
    <s v="Male"/>
    <n v="20"/>
    <x v="1"/>
    <s v="Manali Snow Escape"/>
    <x v="3"/>
    <n v="1"/>
    <n v="5800"/>
    <x v="2"/>
    <x v="1"/>
    <d v="2025-07-09T00:00:00"/>
    <x v="2"/>
    <n v="4"/>
  </r>
  <r>
    <s v="BK0120"/>
    <x v="104"/>
    <s v="Ira Patel"/>
    <s v="Female"/>
    <n v="49"/>
    <x v="4"/>
    <s v="Bali Bliss"/>
    <x v="1"/>
    <n v="4"/>
    <n v="35700"/>
    <x v="2"/>
    <x v="1"/>
    <d v="2025-02-24T00:00:00"/>
    <x v="0"/>
    <n v="5"/>
  </r>
  <r>
    <s v="BK0121"/>
    <x v="105"/>
    <s v="Vivaan Joshi"/>
    <s v="Male"/>
    <n v="27"/>
    <x v="7"/>
    <s v="Goa Beach Paradise"/>
    <x v="3"/>
    <n v="2"/>
    <n v="13100"/>
    <x v="0"/>
    <x v="1"/>
    <d v="2025-05-15T00:00:00"/>
    <x v="3"/>
    <n v="5"/>
  </r>
  <r>
    <s v="BK0122"/>
    <x v="106"/>
    <s v="Ishaan Desai"/>
    <s v="Male"/>
    <n v="30"/>
    <x v="6"/>
    <s v="Dubai Adventure"/>
    <x v="2"/>
    <n v="6"/>
    <n v="73500"/>
    <x v="3"/>
    <x v="1"/>
    <d v="2025-11-20T00:00:00"/>
    <x v="0"/>
    <n v="5"/>
  </r>
  <r>
    <s v="BK0123"/>
    <x v="107"/>
    <s v="Arjun Mehta"/>
    <s v="Male"/>
    <n v="36"/>
    <x v="1"/>
    <s v="Manali Adventure"/>
    <x v="2"/>
    <n v="4"/>
    <n v="26400"/>
    <x v="0"/>
    <x v="1"/>
    <d v="2026-03-19T00:00:00"/>
    <x v="1"/>
    <n v="4"/>
  </r>
  <r>
    <s v="BK0124"/>
    <x v="108"/>
    <s v="Vivaan Pawar"/>
    <s v="Female"/>
    <n v="32"/>
    <x v="0"/>
    <s v="Thailand Family Escape"/>
    <x v="3"/>
    <n v="5"/>
    <n v="43700"/>
    <x v="1"/>
    <x v="1"/>
    <d v="2025-08-20T00:00:00"/>
    <x v="1"/>
    <n v="4"/>
  </r>
  <r>
    <s v="BK0125"/>
    <x v="109"/>
    <s v="Anaya Joshi"/>
    <s v="Male"/>
    <n v="26"/>
    <x v="6"/>
    <s v="Dubai City Explorer"/>
    <x v="3"/>
    <n v="5"/>
    <n v="53500"/>
    <x v="1"/>
    <x v="1"/>
    <d v="2025-11-27T00:00:00"/>
    <x v="2"/>
    <n v="5"/>
  </r>
  <r>
    <s v="BK0126"/>
    <x v="110"/>
    <s v="Meera Pawar"/>
    <s v="Male"/>
    <n v="51"/>
    <x v="6"/>
    <s v="Dubai City Explorer"/>
    <x v="3"/>
    <n v="3"/>
    <n v="29800"/>
    <x v="3"/>
    <x v="0"/>
    <d v="2026-01-07T00:00:00"/>
    <x v="2"/>
    <n v="5"/>
  </r>
  <r>
    <s v="BK0127"/>
    <x v="46"/>
    <s v="Rohan Singh"/>
    <s v="Male"/>
    <n v="58"/>
    <x v="7"/>
    <s v="Goa Adventure"/>
    <x v="2"/>
    <n v="6"/>
    <n v="51700"/>
    <x v="3"/>
    <x v="1"/>
    <d v="2025-07-11T00:00:00"/>
    <x v="3"/>
    <n v="4"/>
  </r>
  <r>
    <s v="BK0128"/>
    <x v="111"/>
    <s v="Aarav Desai"/>
    <s v="Female"/>
    <n v="20"/>
    <x v="5"/>
    <s v="Kashmir Valley Tour"/>
    <x v="3"/>
    <n v="4"/>
    <n v="31300"/>
    <x v="0"/>
    <x v="1"/>
    <d v="2025-07-22T00:00:00"/>
    <x v="2"/>
    <n v="4"/>
  </r>
  <r>
    <s v="BK0129"/>
    <x v="112"/>
    <s v="Diya Patel"/>
    <s v="Female"/>
    <n v="52"/>
    <x v="8"/>
    <s v="Andaman Island Tour"/>
    <x v="2"/>
    <n v="1"/>
    <n v="8700"/>
    <x v="2"/>
    <x v="1"/>
    <d v="2025-10-30T00:00:00"/>
    <x v="0"/>
    <n v="5"/>
  </r>
  <r>
    <s v="BK0130"/>
    <x v="113"/>
    <s v="Meera Verma"/>
    <s v="Female"/>
    <n v="51"/>
    <x v="0"/>
    <s v="Thailand Island Tour"/>
    <x v="2"/>
    <n v="4"/>
    <n v="36000"/>
    <x v="3"/>
    <x v="1"/>
    <d v="2025-05-11T00:00:00"/>
    <x v="2"/>
    <n v="3"/>
  </r>
  <r>
    <s v="BK0131"/>
    <x v="114"/>
    <s v="Kiara Patel"/>
    <s v="Male"/>
    <n v="24"/>
    <x v="6"/>
    <s v="Dubai Deluxe"/>
    <x v="0"/>
    <n v="6"/>
    <n v="81800"/>
    <x v="3"/>
    <x v="0"/>
    <d v="2025-11-09T00:00:00"/>
    <x v="1"/>
    <n v="3"/>
  </r>
  <r>
    <s v="BK0132"/>
    <x v="31"/>
    <s v="Kiara Desai"/>
    <s v="Female"/>
    <n v="56"/>
    <x v="7"/>
    <s v="Goa Beach Paradise"/>
    <x v="3"/>
    <n v="2"/>
    <n v="12300"/>
    <x v="1"/>
    <x v="1"/>
    <d v="2025-03-03T00:00:00"/>
    <x v="0"/>
    <n v="4"/>
  </r>
  <r>
    <s v="BK0133"/>
    <x v="115"/>
    <s v="Ishaan Shah"/>
    <s v="Male"/>
    <n v="21"/>
    <x v="2"/>
    <s v="Singapore Luxury"/>
    <x v="0"/>
    <n v="3"/>
    <n v="33400"/>
    <x v="2"/>
    <x v="1"/>
    <d v="2025-07-02T00:00:00"/>
    <x v="2"/>
    <n v="4"/>
  </r>
  <r>
    <s v="BK0134"/>
    <x v="116"/>
    <s v="Anaya Verma"/>
    <s v="Male"/>
    <n v="58"/>
    <x v="3"/>
    <s v="Rajasthan Heritage"/>
    <x v="4"/>
    <n v="6"/>
    <n v="31900"/>
    <x v="1"/>
    <x v="1"/>
    <d v="2025-04-07T00:00:00"/>
    <x v="3"/>
    <n v="5"/>
  </r>
  <r>
    <s v="BK0135"/>
    <x v="86"/>
    <s v="Arjun Shah"/>
    <s v="Female"/>
    <n v="31"/>
    <x v="8"/>
    <s v="Andaman Island Tour"/>
    <x v="2"/>
    <n v="5"/>
    <n v="39800"/>
    <x v="2"/>
    <x v="1"/>
    <d v="2025-02-04T00:00:00"/>
    <x v="4"/>
    <n v="4"/>
  </r>
  <r>
    <s v="BK0136"/>
    <x v="117"/>
    <s v="Kabir Patel"/>
    <s v="Female"/>
    <n v="28"/>
    <x v="7"/>
    <s v="Goa Beach Paradise"/>
    <x v="3"/>
    <n v="2"/>
    <n v="12800"/>
    <x v="2"/>
    <x v="1"/>
    <d v="2026-02-24T00:00:00"/>
    <x v="4"/>
    <n v="3"/>
  </r>
  <r>
    <s v="BK0137"/>
    <x v="118"/>
    <s v="Arjun Joshi"/>
    <s v="Male"/>
    <n v="36"/>
    <x v="6"/>
    <s v="Dubai Adventure"/>
    <x v="2"/>
    <n v="6"/>
    <n v="65900"/>
    <x v="2"/>
    <x v="0"/>
    <d v="2025-10-09T00:00:00"/>
    <x v="5"/>
    <n v="4"/>
  </r>
  <r>
    <s v="BK0138"/>
    <x v="70"/>
    <s v="Vihaan Shah"/>
    <s v="Male"/>
    <n v="25"/>
    <x v="5"/>
    <s v="Kashmir Honeymoon"/>
    <x v="1"/>
    <n v="6"/>
    <n v="61000"/>
    <x v="3"/>
    <x v="1"/>
    <d v="2025-05-19T00:00:00"/>
    <x v="0"/>
    <n v="5"/>
  </r>
  <r>
    <s v="BK0139"/>
    <x v="119"/>
    <s v="Ira Gupta"/>
    <s v="Female"/>
    <n v="20"/>
    <x v="2"/>
    <s v="Singapore City Tour"/>
    <x v="3"/>
    <n v="4"/>
    <n v="43800"/>
    <x v="1"/>
    <x v="1"/>
    <d v="2025-11-17T00:00:00"/>
    <x v="3"/>
    <n v="5"/>
  </r>
  <r>
    <s v="BK0140"/>
    <x v="120"/>
    <s v="Rohan Singh"/>
    <s v="Male"/>
    <n v="46"/>
    <x v="2"/>
    <s v="Singapore Explorer"/>
    <x v="2"/>
    <n v="6"/>
    <n v="59800"/>
    <x v="0"/>
    <x v="1"/>
    <d v="2025-09-17T00:00:00"/>
    <x v="4"/>
    <n v="5"/>
  </r>
  <r>
    <s v="BK0141"/>
    <x v="121"/>
    <s v="Ira Pawar"/>
    <s v="Female"/>
    <n v="20"/>
    <x v="8"/>
    <s v="Andaman Island Tour"/>
    <x v="2"/>
    <n v="3"/>
    <n v="25800"/>
    <x v="1"/>
    <x v="1"/>
    <d v="2025-04-09T00:00:00"/>
    <x v="0"/>
    <n v="5"/>
  </r>
  <r>
    <s v="BK0142"/>
    <x v="122"/>
    <s v="Aanya Desai"/>
    <s v="Female"/>
    <n v="41"/>
    <x v="7"/>
    <s v="Goa Adventure"/>
    <x v="2"/>
    <n v="3"/>
    <n v="22100"/>
    <x v="0"/>
    <x v="1"/>
    <d v="2025-10-08T00:00:00"/>
    <x v="1"/>
    <n v="3"/>
  </r>
  <r>
    <s v="BK0143"/>
    <x v="123"/>
    <s v="Ira Desai"/>
    <s v="Male"/>
    <n v="42"/>
    <x v="4"/>
    <s v="Bali Adventure"/>
    <x v="2"/>
    <n v="2"/>
    <n v="17100"/>
    <x v="0"/>
    <x v="1"/>
    <d v="2025-08-27T00:00:00"/>
    <x v="4"/>
    <n v="5"/>
  </r>
  <r>
    <s v="BK0144"/>
    <x v="124"/>
    <s v="Aanya Sharma"/>
    <s v="Male"/>
    <n v="47"/>
    <x v="2"/>
    <s v="Singapore Luxury"/>
    <x v="0"/>
    <n v="3"/>
    <n v="36200"/>
    <x v="3"/>
    <x v="1"/>
    <d v="2025-12-21T00:00:00"/>
    <x v="1"/>
    <n v="5"/>
  </r>
  <r>
    <s v="BK0145"/>
    <x v="125"/>
    <s v="Sara Shah"/>
    <s v="Female"/>
    <n v="50"/>
    <x v="2"/>
    <s v="Singapore Luxury"/>
    <x v="0"/>
    <n v="6"/>
    <n v="86700"/>
    <x v="0"/>
    <x v="1"/>
    <d v="2025-03-24T00:00:00"/>
    <x v="1"/>
    <n v="5"/>
  </r>
  <r>
    <s v="BK0146"/>
    <x v="126"/>
    <s v="Vivaan Verma"/>
    <s v="Female"/>
    <n v="28"/>
    <x v="7"/>
    <s v="Goa Honeymoon Escape"/>
    <x v="1"/>
    <n v="5"/>
    <n v="46700"/>
    <x v="3"/>
    <x v="1"/>
    <d v="2025-12-27T00:00:00"/>
    <x v="2"/>
    <n v="5"/>
  </r>
  <r>
    <s v="BK0147"/>
    <x v="127"/>
    <s v="Sara Patel"/>
    <s v="Male"/>
    <n v="18"/>
    <x v="2"/>
    <s v="Singapore Explorer"/>
    <x v="2"/>
    <n v="3"/>
    <n v="29200"/>
    <x v="2"/>
    <x v="0"/>
    <d v="2025-10-27T00:00:00"/>
    <x v="5"/>
    <n v="5"/>
  </r>
  <r>
    <s v="BK0148"/>
    <x v="128"/>
    <s v="Rohan Mehta"/>
    <s v="Male"/>
    <n v="49"/>
    <x v="7"/>
    <s v="Goa Beach Paradise"/>
    <x v="3"/>
    <n v="2"/>
    <n v="14400"/>
    <x v="2"/>
    <x v="1"/>
    <d v="2025-10-23T00:00:00"/>
    <x v="1"/>
    <n v="5"/>
  </r>
  <r>
    <s v="BK0149"/>
    <x v="9"/>
    <s v="Sara Joshi"/>
    <s v="Male"/>
    <n v="21"/>
    <x v="8"/>
    <s v="Andaman Island Tour"/>
    <x v="2"/>
    <n v="3"/>
    <n v="25300"/>
    <x v="0"/>
    <x v="1"/>
    <d v="2025-04-27T00:00:00"/>
    <x v="3"/>
    <n v="4"/>
  </r>
  <r>
    <s v="BK0150"/>
    <x v="129"/>
    <s v="Kiara Singh"/>
    <s v="Male"/>
    <n v="28"/>
    <x v="3"/>
    <s v="Rajasthan Royal Tour"/>
    <x v="0"/>
    <n v="4"/>
    <n v="39500"/>
    <x v="3"/>
    <x v="1"/>
    <d v="2025-10-29T00:00:00"/>
    <x v="2"/>
    <n v="4"/>
  </r>
  <r>
    <s v="BK0151"/>
    <x v="130"/>
    <s v="Myra Verma"/>
    <s v="Female"/>
    <n v="37"/>
    <x v="3"/>
    <s v="Rajasthan Heritage"/>
    <x v="4"/>
    <n v="1"/>
    <n v="5600"/>
    <x v="0"/>
    <x v="0"/>
    <d v="2025-11-13T00:00:00"/>
    <x v="1"/>
    <n v="4"/>
  </r>
  <r>
    <s v="BK0152"/>
    <x v="131"/>
    <s v="Vivaan Verma"/>
    <s v="Male"/>
    <n v="28"/>
    <x v="0"/>
    <s v="Thailand Island Tour"/>
    <x v="2"/>
    <n v="1"/>
    <n v="8800"/>
    <x v="2"/>
    <x v="1"/>
    <d v="2026-03-05T00:00:00"/>
    <x v="1"/>
    <n v="5"/>
  </r>
  <r>
    <s v="BK0153"/>
    <x v="114"/>
    <s v="Kabir Gupta"/>
    <s v="Male"/>
    <n v="32"/>
    <x v="2"/>
    <s v="Singapore Explorer"/>
    <x v="2"/>
    <n v="2"/>
    <n v="23900"/>
    <x v="3"/>
    <x v="1"/>
    <d v="2025-10-18T00:00:00"/>
    <x v="5"/>
    <n v="4"/>
  </r>
  <r>
    <s v="BK0154"/>
    <x v="132"/>
    <s v="Rohan Desai"/>
    <s v="Female"/>
    <n v="27"/>
    <x v="1"/>
    <s v="Manali Couple Retreat"/>
    <x v="1"/>
    <n v="6"/>
    <n v="45300"/>
    <x v="3"/>
    <x v="1"/>
    <d v="2025-11-16T00:00:00"/>
    <x v="3"/>
    <n v="4"/>
  </r>
  <r>
    <s v="BK0155"/>
    <x v="133"/>
    <s v="Sara Patel"/>
    <s v="Female"/>
    <n v="43"/>
    <x v="0"/>
    <s v="Thailand Family Escape"/>
    <x v="3"/>
    <n v="5"/>
    <n v="39200"/>
    <x v="3"/>
    <x v="1"/>
    <d v="2025-09-03T00:00:00"/>
    <x v="0"/>
    <n v="4"/>
  </r>
  <r>
    <s v="BK0156"/>
    <x v="134"/>
    <s v="Aditya Patel"/>
    <s v="Female"/>
    <n v="41"/>
    <x v="2"/>
    <s v="Singapore Explorer"/>
    <x v="2"/>
    <n v="3"/>
    <n v="29800"/>
    <x v="1"/>
    <x v="1"/>
    <d v="2025-01-29T00:00:00"/>
    <x v="5"/>
    <n v="4"/>
  </r>
  <r>
    <s v="BK0157"/>
    <x v="135"/>
    <s v="Vivaan Sharma"/>
    <s v="Female"/>
    <n v="58"/>
    <x v="5"/>
    <s v="Kashmir Honeymoon"/>
    <x v="1"/>
    <n v="3"/>
    <n v="31400"/>
    <x v="1"/>
    <x v="0"/>
    <d v="2025-08-21T00:00:00"/>
    <x v="4"/>
    <n v="5"/>
  </r>
  <r>
    <s v="BK0158"/>
    <x v="136"/>
    <s v="Vihaan Patel"/>
    <s v="Female"/>
    <n v="45"/>
    <x v="1"/>
    <s v="Manali Snow Escape"/>
    <x v="3"/>
    <n v="1"/>
    <n v="5800"/>
    <x v="2"/>
    <x v="1"/>
    <d v="2026-01-18T00:00:00"/>
    <x v="2"/>
    <n v="3"/>
  </r>
  <r>
    <s v="BK0159"/>
    <x v="137"/>
    <s v="Aditya Desai"/>
    <s v="Female"/>
    <n v="59"/>
    <x v="9"/>
    <s v="Kerala Honeymoon Escape"/>
    <x v="1"/>
    <n v="5"/>
    <n v="50500"/>
    <x v="0"/>
    <x v="1"/>
    <d v="2026-01-08T00:00:00"/>
    <x v="4"/>
    <n v="3"/>
  </r>
  <r>
    <s v="BK0160"/>
    <x v="138"/>
    <s v="Aanya Pawar"/>
    <s v="Male"/>
    <n v="41"/>
    <x v="0"/>
    <s v="Thailand Luxury"/>
    <x v="0"/>
    <n v="3"/>
    <n v="38300"/>
    <x v="2"/>
    <x v="1"/>
    <d v="2025-12-30T00:00:00"/>
    <x v="3"/>
    <n v="5"/>
  </r>
  <r>
    <s v="BK0161"/>
    <x v="139"/>
    <s v="Kabir Shah"/>
    <s v="Female"/>
    <n v="54"/>
    <x v="8"/>
    <s v="Andaman Escape"/>
    <x v="1"/>
    <n v="1"/>
    <n v="8900"/>
    <x v="2"/>
    <x v="0"/>
    <d v="2025-08-25T00:00:00"/>
    <x v="0"/>
    <n v="5"/>
  </r>
  <r>
    <s v="BK0162"/>
    <x v="140"/>
    <s v="Diya Verma"/>
    <s v="Male"/>
    <n v="37"/>
    <x v="5"/>
    <s v="Kashmir Valley Tour"/>
    <x v="3"/>
    <n v="3"/>
    <n v="22800"/>
    <x v="3"/>
    <x v="1"/>
    <d v="2025-04-13T00:00:00"/>
    <x v="2"/>
    <n v="4"/>
  </r>
  <r>
    <s v="BK0163"/>
    <x v="141"/>
    <s v="Diya Patel"/>
    <s v="Female"/>
    <n v="51"/>
    <x v="2"/>
    <s v="Singapore Explorer"/>
    <x v="2"/>
    <n v="5"/>
    <n v="56500"/>
    <x v="1"/>
    <x v="1"/>
    <d v="2025-12-21T00:00:00"/>
    <x v="3"/>
    <n v="4"/>
  </r>
  <r>
    <s v="BK0164"/>
    <x v="142"/>
    <s v="Vivaan Pawar"/>
    <s v="Female"/>
    <n v="41"/>
    <x v="5"/>
    <s v="Kashmir Valley Tour"/>
    <x v="3"/>
    <n v="3"/>
    <n v="22800"/>
    <x v="1"/>
    <x v="1"/>
    <d v="2025-08-26T00:00:00"/>
    <x v="0"/>
    <n v="5"/>
  </r>
  <r>
    <s v="BK0165"/>
    <x v="143"/>
    <s v="Meera Patel"/>
    <s v="Female"/>
    <n v="31"/>
    <x v="5"/>
    <s v="Kashmir Honeymoon"/>
    <x v="1"/>
    <n v="3"/>
    <n v="33500"/>
    <x v="1"/>
    <x v="1"/>
    <d v="2025-07-01T00:00:00"/>
    <x v="3"/>
    <n v="4"/>
  </r>
  <r>
    <s v="BK0166"/>
    <x v="144"/>
    <s v="Aanya Mehta"/>
    <s v="Female"/>
    <n v="59"/>
    <x v="0"/>
    <s v="Thailand Family Escape"/>
    <x v="3"/>
    <n v="3"/>
    <n v="20200"/>
    <x v="0"/>
    <x v="0"/>
    <d v="2025-07-06T00:00:00"/>
    <x v="2"/>
    <n v="4"/>
  </r>
  <r>
    <s v="BK0167"/>
    <x v="145"/>
    <s v="Aditya Singh"/>
    <s v="Male"/>
    <n v="19"/>
    <x v="9"/>
    <s v="Kerala Backwaters"/>
    <x v="3"/>
    <n v="1"/>
    <n v="7100"/>
    <x v="0"/>
    <x v="1"/>
    <d v="2025-08-11T00:00:00"/>
    <x v="1"/>
    <n v="4"/>
  </r>
  <r>
    <s v="BK0168"/>
    <x v="146"/>
    <s v="Aarav Singh"/>
    <s v="Female"/>
    <n v="22"/>
    <x v="5"/>
    <s v="Kashmir Honeymoon"/>
    <x v="1"/>
    <n v="6"/>
    <n v="59900"/>
    <x v="0"/>
    <x v="1"/>
    <d v="2025-07-31T00:00:00"/>
    <x v="0"/>
    <n v="5"/>
  </r>
  <r>
    <s v="BK0169"/>
    <x v="147"/>
    <s v="Diya Pawar"/>
    <s v="Male"/>
    <n v="24"/>
    <x v="4"/>
    <s v="Bali Bliss"/>
    <x v="1"/>
    <n v="4"/>
    <n v="40400"/>
    <x v="1"/>
    <x v="1"/>
    <d v="2026-03-22T00:00:00"/>
    <x v="5"/>
    <n v="5"/>
  </r>
  <r>
    <s v="BK0170"/>
    <x v="135"/>
    <s v="Arjun Joshi"/>
    <s v="Male"/>
    <n v="46"/>
    <x v="4"/>
    <s v="Bali Adventure"/>
    <x v="2"/>
    <n v="4"/>
    <n v="42300"/>
    <x v="1"/>
    <x v="1"/>
    <d v="2025-09-05T00:00:00"/>
    <x v="5"/>
    <n v="4"/>
  </r>
  <r>
    <s v="BK0171"/>
    <x v="148"/>
    <s v="Kiara Singh"/>
    <s v="Male"/>
    <n v="28"/>
    <x v="6"/>
    <s v="Dubai Adventure"/>
    <x v="2"/>
    <n v="3"/>
    <n v="37600"/>
    <x v="3"/>
    <x v="1"/>
    <d v="2025-10-11T00:00:00"/>
    <x v="5"/>
    <n v="5"/>
  </r>
  <r>
    <s v="BK0172"/>
    <x v="28"/>
    <s v="Aarav Mehta"/>
    <s v="Female"/>
    <n v="58"/>
    <x v="0"/>
    <s v="Thailand Island Tour"/>
    <x v="2"/>
    <n v="6"/>
    <n v="59900"/>
    <x v="0"/>
    <x v="0"/>
    <d v="2026-01-25T00:00:00"/>
    <x v="2"/>
    <n v="4"/>
  </r>
  <r>
    <s v="BK0173"/>
    <x v="149"/>
    <s v="Anaya Desai"/>
    <s v="Female"/>
    <n v="60"/>
    <x v="3"/>
    <s v="Rajasthan Royal Tour"/>
    <x v="0"/>
    <n v="5"/>
    <n v="43900"/>
    <x v="2"/>
    <x v="1"/>
    <d v="2025-04-26T00:00:00"/>
    <x v="1"/>
    <n v="5"/>
  </r>
  <r>
    <s v="BK0174"/>
    <x v="150"/>
    <s v="Meera Sharma"/>
    <s v="Female"/>
    <n v="41"/>
    <x v="0"/>
    <s v="Thailand Family Escape"/>
    <x v="3"/>
    <n v="4"/>
    <n v="29800"/>
    <x v="1"/>
    <x v="0"/>
    <d v="2025-12-29T00:00:00"/>
    <x v="2"/>
    <n v="5"/>
  </r>
  <r>
    <s v="BK0175"/>
    <x v="151"/>
    <s v="Sara Joshi"/>
    <s v="Female"/>
    <n v="30"/>
    <x v="2"/>
    <s v="Singapore Luxury"/>
    <x v="0"/>
    <n v="1"/>
    <n v="13000"/>
    <x v="2"/>
    <x v="1"/>
    <d v="2026-01-24T00:00:00"/>
    <x v="3"/>
    <n v="5"/>
  </r>
  <r>
    <s v="BK0176"/>
    <x v="109"/>
    <s v="Ishaan Pawar"/>
    <s v="Female"/>
    <n v="20"/>
    <x v="3"/>
    <s v="Rajasthan Heritage"/>
    <x v="4"/>
    <n v="4"/>
    <n v="23600"/>
    <x v="3"/>
    <x v="1"/>
    <d v="2025-10-01T00:00:00"/>
    <x v="4"/>
    <n v="5"/>
  </r>
  <r>
    <s v="BK0177"/>
    <x v="127"/>
    <s v="Diya Gupta"/>
    <s v="Female"/>
    <n v="20"/>
    <x v="6"/>
    <s v="Dubai Deluxe"/>
    <x v="0"/>
    <n v="5"/>
    <n v="53800"/>
    <x v="1"/>
    <x v="0"/>
    <d v="2025-08-27T00:00:00"/>
    <x v="1"/>
    <n v="5"/>
  </r>
  <r>
    <s v="BK0178"/>
    <x v="129"/>
    <s v="Sara Desai"/>
    <s v="Male"/>
    <n v="19"/>
    <x v="5"/>
    <s v="Kashmir Honeymoon"/>
    <x v="1"/>
    <n v="6"/>
    <n v="55300"/>
    <x v="2"/>
    <x v="1"/>
    <d v="2025-11-17T00:00:00"/>
    <x v="5"/>
    <n v="4"/>
  </r>
  <r>
    <s v="BK0179"/>
    <x v="152"/>
    <s v="Ishaan Mehta"/>
    <s v="Female"/>
    <n v="23"/>
    <x v="9"/>
    <s v="Kerala Nature Retreat"/>
    <x v="2"/>
    <n v="6"/>
    <n v="55200"/>
    <x v="0"/>
    <x v="1"/>
    <d v="2025-12-26T00:00:00"/>
    <x v="4"/>
    <n v="5"/>
  </r>
  <r>
    <s v="BK0180"/>
    <x v="153"/>
    <s v="Ishaan Gupta"/>
    <s v="Female"/>
    <n v="30"/>
    <x v="9"/>
    <s v="Kerala Honeymoon Escape"/>
    <x v="1"/>
    <n v="1"/>
    <n v="8400"/>
    <x v="0"/>
    <x v="1"/>
    <d v="2025-07-28T00:00:00"/>
    <x v="2"/>
    <n v="5"/>
  </r>
  <r>
    <s v="BK0181"/>
    <x v="154"/>
    <s v="Vihaan Patel"/>
    <s v="Male"/>
    <n v="35"/>
    <x v="1"/>
    <s v="Manali Couple Retreat"/>
    <x v="1"/>
    <n v="4"/>
    <n v="31900"/>
    <x v="1"/>
    <x v="1"/>
    <d v="2025-12-19T00:00:00"/>
    <x v="5"/>
    <n v="5"/>
  </r>
  <r>
    <s v="BK0182"/>
    <x v="155"/>
    <s v="Ira Singh"/>
    <s v="Female"/>
    <n v="18"/>
    <x v="3"/>
    <s v="Rajasthan Heritage"/>
    <x v="4"/>
    <n v="2"/>
    <n v="10800"/>
    <x v="1"/>
    <x v="1"/>
    <d v="2025-12-28T00:00:00"/>
    <x v="4"/>
    <n v="5"/>
  </r>
  <r>
    <s v="BK0183"/>
    <x v="24"/>
    <s v="Ishaan Patel"/>
    <s v="Female"/>
    <n v="31"/>
    <x v="4"/>
    <s v="Bali Bliss"/>
    <x v="1"/>
    <n v="5"/>
    <n v="44100"/>
    <x v="3"/>
    <x v="1"/>
    <d v="2025-10-20T00:00:00"/>
    <x v="4"/>
    <n v="5"/>
  </r>
  <r>
    <s v="BK0184"/>
    <x v="2"/>
    <s v="Diya Gupta"/>
    <s v="Female"/>
    <n v="36"/>
    <x v="9"/>
    <s v="Kerala Nature Retreat"/>
    <x v="2"/>
    <n v="1"/>
    <n v="8400"/>
    <x v="2"/>
    <x v="1"/>
    <d v="2025-12-04T00:00:00"/>
    <x v="1"/>
    <n v="4"/>
  </r>
  <r>
    <s v="BK0185"/>
    <x v="147"/>
    <s v="Rohan Sharma"/>
    <s v="Female"/>
    <n v="58"/>
    <x v="3"/>
    <s v="Rajasthan Heritage"/>
    <x v="4"/>
    <n v="2"/>
    <n v="11500"/>
    <x v="3"/>
    <x v="1"/>
    <d v="2026-01-23T00:00:00"/>
    <x v="4"/>
    <n v="3"/>
  </r>
  <r>
    <s v="BK0186"/>
    <x v="156"/>
    <s v="Diya Joshi"/>
    <s v="Male"/>
    <n v="40"/>
    <x v="2"/>
    <s v="Singapore City Tour"/>
    <x v="3"/>
    <n v="4"/>
    <n v="45100"/>
    <x v="2"/>
    <x v="1"/>
    <d v="2026-02-19T00:00:00"/>
    <x v="4"/>
    <n v="3"/>
  </r>
  <r>
    <s v="BK0187"/>
    <x v="137"/>
    <s v="Kiara Shah"/>
    <s v="Female"/>
    <n v="45"/>
    <x v="0"/>
    <s v="Thailand Island Tour"/>
    <x v="2"/>
    <n v="5"/>
    <n v="48100"/>
    <x v="2"/>
    <x v="1"/>
    <d v="2026-02-20T00:00:00"/>
    <x v="4"/>
    <n v="5"/>
  </r>
  <r>
    <s v="BK0188"/>
    <x v="157"/>
    <s v="Vivaan Gupta"/>
    <s v="Male"/>
    <n v="37"/>
    <x v="5"/>
    <s v="Kashmir Valley Tour"/>
    <x v="3"/>
    <n v="1"/>
    <n v="6400"/>
    <x v="0"/>
    <x v="1"/>
    <d v="2026-03-17T00:00:00"/>
    <x v="3"/>
    <n v="5"/>
  </r>
  <r>
    <s v="BK0189"/>
    <x v="158"/>
    <s v="Anaya Joshi"/>
    <s v="Male"/>
    <n v="21"/>
    <x v="6"/>
    <s v="Dubai Adventure"/>
    <x v="2"/>
    <n v="2"/>
    <n v="21700"/>
    <x v="3"/>
    <x v="1"/>
    <d v="2025-10-16T00:00:00"/>
    <x v="2"/>
    <n v="4"/>
  </r>
  <r>
    <s v="BK0190"/>
    <x v="85"/>
    <s v="Vihaan Verma"/>
    <s v="Female"/>
    <n v="31"/>
    <x v="7"/>
    <s v="Goa Adventure"/>
    <x v="2"/>
    <n v="5"/>
    <n v="38900"/>
    <x v="2"/>
    <x v="1"/>
    <d v="2026-03-05T00:00:00"/>
    <x v="5"/>
    <n v="5"/>
  </r>
  <r>
    <s v="BK0191"/>
    <x v="159"/>
    <s v="Ira Shah"/>
    <s v="Female"/>
    <n v="32"/>
    <x v="2"/>
    <s v="Singapore City Tour"/>
    <x v="3"/>
    <n v="5"/>
    <n v="45000"/>
    <x v="1"/>
    <x v="1"/>
    <d v="2025-03-21T00:00:00"/>
    <x v="0"/>
    <n v="5"/>
  </r>
  <r>
    <s v="BK0192"/>
    <x v="160"/>
    <s v="Aditya Desai"/>
    <s v="Female"/>
    <n v="41"/>
    <x v="3"/>
    <s v="Rajasthan Royal Tour"/>
    <x v="0"/>
    <n v="3"/>
    <n v="27500"/>
    <x v="3"/>
    <x v="0"/>
    <d v="2025-09-19T00:00:00"/>
    <x v="0"/>
    <n v="5"/>
  </r>
  <r>
    <s v="BK0193"/>
    <x v="48"/>
    <s v="Ishaan Pawar"/>
    <s v="Male"/>
    <n v="58"/>
    <x v="1"/>
    <s v="Manali Couple Retreat"/>
    <x v="1"/>
    <n v="1"/>
    <n v="9400"/>
    <x v="3"/>
    <x v="0"/>
    <d v="2025-12-06T00:00:00"/>
    <x v="0"/>
    <n v="3"/>
  </r>
  <r>
    <s v="BK0194"/>
    <x v="139"/>
    <s v="Meera Joshi"/>
    <s v="Male"/>
    <n v="38"/>
    <x v="3"/>
    <s v="Rajasthan Royal Tour"/>
    <x v="0"/>
    <n v="2"/>
    <n v="19400"/>
    <x v="0"/>
    <x v="0"/>
    <d v="2025-08-19T00:00:00"/>
    <x v="1"/>
    <n v="3"/>
  </r>
  <r>
    <s v="BK0195"/>
    <x v="161"/>
    <s v="Sara Pawar"/>
    <s v="Male"/>
    <n v="27"/>
    <x v="5"/>
    <s v="Kashmir Valley Tour"/>
    <x v="3"/>
    <n v="6"/>
    <n v="49200"/>
    <x v="1"/>
    <x v="1"/>
    <d v="2025-05-20T00:00:00"/>
    <x v="5"/>
    <n v="5"/>
  </r>
  <r>
    <s v="BK0196"/>
    <x v="84"/>
    <s v="Vihaan Gupta"/>
    <s v="Male"/>
    <n v="48"/>
    <x v="6"/>
    <s v="Dubai City Explorer"/>
    <x v="3"/>
    <n v="4"/>
    <n v="41100"/>
    <x v="3"/>
    <x v="1"/>
    <d v="2026-03-11T00:00:00"/>
    <x v="4"/>
    <n v="5"/>
  </r>
  <r>
    <s v="BK0197"/>
    <x v="162"/>
    <s v="Rohan Pawar"/>
    <s v="Female"/>
    <n v="35"/>
    <x v="2"/>
    <s v="Singapore City Tour"/>
    <x v="3"/>
    <n v="4"/>
    <n v="40000"/>
    <x v="1"/>
    <x v="1"/>
    <d v="2025-12-12T00:00:00"/>
    <x v="3"/>
    <n v="5"/>
  </r>
  <r>
    <s v="BK0198"/>
    <x v="163"/>
    <s v="Vivaan Singh"/>
    <s v="Male"/>
    <n v="49"/>
    <x v="5"/>
    <s v="Kashmir Valley Tour"/>
    <x v="3"/>
    <n v="3"/>
    <n v="20300"/>
    <x v="3"/>
    <x v="1"/>
    <d v="2025-08-22T00:00:00"/>
    <x v="3"/>
    <n v="5"/>
  </r>
  <r>
    <s v="BK0199"/>
    <x v="164"/>
    <s v="Rohan Patel"/>
    <s v="Female"/>
    <n v="59"/>
    <x v="6"/>
    <s v="Dubai City Explorer"/>
    <x v="3"/>
    <n v="1"/>
    <n v="12300"/>
    <x v="1"/>
    <x v="1"/>
    <d v="2025-05-08T00:00:00"/>
    <x v="1"/>
    <n v="5"/>
  </r>
  <r>
    <s v="BK0200"/>
    <x v="165"/>
    <s v="Aditya Joshi"/>
    <s v="Female"/>
    <n v="52"/>
    <x v="6"/>
    <s v="Dubai City Explorer"/>
    <x v="3"/>
    <n v="1"/>
    <n v="10400"/>
    <x v="3"/>
    <x v="0"/>
    <d v="2025-08-07T00:00:00"/>
    <x v="0"/>
    <n v="5"/>
  </r>
  <r>
    <s v="BK0201"/>
    <x v="166"/>
    <s v="Vihaan Patel"/>
    <s v="Female"/>
    <n v="39"/>
    <x v="3"/>
    <s v="Rajasthan Royal Tour"/>
    <x v="0"/>
    <n v="1"/>
    <n v="9000"/>
    <x v="0"/>
    <x v="1"/>
    <d v="2025-05-15T00:00:00"/>
    <x v="1"/>
    <n v="3"/>
  </r>
  <r>
    <s v="BK0202"/>
    <x v="71"/>
    <s v="Aanya Singh"/>
    <s v="Female"/>
    <n v="56"/>
    <x v="8"/>
    <s v="Andaman Island Tour"/>
    <x v="2"/>
    <n v="4"/>
    <n v="42200"/>
    <x v="0"/>
    <x v="0"/>
    <d v="2025-08-28T00:00:00"/>
    <x v="1"/>
    <n v="4"/>
  </r>
  <r>
    <s v="BK0203"/>
    <x v="167"/>
    <s v="Meera Sharma"/>
    <s v="Male"/>
    <n v="36"/>
    <x v="1"/>
    <s v="Manali Couple Retreat"/>
    <x v="1"/>
    <n v="6"/>
    <n v="51800"/>
    <x v="3"/>
    <x v="1"/>
    <d v="2025-12-20T00:00:00"/>
    <x v="3"/>
    <n v="5"/>
  </r>
  <r>
    <s v="BK0204"/>
    <x v="168"/>
    <s v="Meera Joshi"/>
    <s v="Male"/>
    <n v="46"/>
    <x v="2"/>
    <s v="Singapore Explorer"/>
    <x v="2"/>
    <n v="4"/>
    <n v="36400"/>
    <x v="1"/>
    <x v="1"/>
    <d v="2026-02-02T00:00:00"/>
    <x v="1"/>
    <n v="4"/>
  </r>
  <r>
    <s v="BK0205"/>
    <x v="169"/>
    <s v="Ishaan Verma"/>
    <s v="Female"/>
    <n v="36"/>
    <x v="4"/>
    <s v="Bali Beach Escape"/>
    <x v="3"/>
    <n v="4"/>
    <n v="35400"/>
    <x v="3"/>
    <x v="1"/>
    <d v="2025-09-18T00:00:00"/>
    <x v="1"/>
    <n v="5"/>
  </r>
  <r>
    <s v="BK0206"/>
    <x v="170"/>
    <s v="Aditya Patel"/>
    <s v="Male"/>
    <n v="31"/>
    <x v="7"/>
    <s v="Goa Honeymoon Escape"/>
    <x v="1"/>
    <n v="3"/>
    <n v="27000"/>
    <x v="2"/>
    <x v="1"/>
    <d v="2025-06-21T00:00:00"/>
    <x v="0"/>
    <n v="5"/>
  </r>
  <r>
    <s v="BK0207"/>
    <x v="171"/>
    <s v="Aanya Desai"/>
    <s v="Male"/>
    <n v="41"/>
    <x v="4"/>
    <s v="Bali Bliss"/>
    <x v="1"/>
    <n v="6"/>
    <n v="62900"/>
    <x v="3"/>
    <x v="1"/>
    <d v="2025-07-03T00:00:00"/>
    <x v="1"/>
    <n v="5"/>
  </r>
  <r>
    <s v="BK0208"/>
    <x v="44"/>
    <s v="Aanya Singh"/>
    <s v="Male"/>
    <n v="59"/>
    <x v="7"/>
    <s v="Goa Honeymoon Escape"/>
    <x v="1"/>
    <n v="5"/>
    <n v="49200"/>
    <x v="2"/>
    <x v="1"/>
    <d v="2025-10-10T00:00:00"/>
    <x v="1"/>
    <n v="5"/>
  </r>
  <r>
    <s v="BK0209"/>
    <x v="37"/>
    <s v="Myra Shah"/>
    <s v="Female"/>
    <n v="45"/>
    <x v="1"/>
    <s v="Manali Snow Escape"/>
    <x v="3"/>
    <n v="4"/>
    <n v="26900"/>
    <x v="1"/>
    <x v="1"/>
    <d v="2025-08-31T00:00:00"/>
    <x v="3"/>
    <n v="5"/>
  </r>
  <r>
    <s v="BK0210"/>
    <x v="125"/>
    <s v="Rohan Sharma"/>
    <s v="Male"/>
    <n v="42"/>
    <x v="2"/>
    <s v="Singapore City Tour"/>
    <x v="3"/>
    <n v="1"/>
    <n v="11400"/>
    <x v="0"/>
    <x v="1"/>
    <d v="2025-05-09T00:00:00"/>
    <x v="5"/>
    <n v="4"/>
  </r>
  <r>
    <s v="BK0211"/>
    <x v="172"/>
    <s v="Sara Patel"/>
    <s v="Female"/>
    <n v="55"/>
    <x v="3"/>
    <s v="Rajasthan Royal Tour"/>
    <x v="0"/>
    <n v="4"/>
    <n v="39100"/>
    <x v="0"/>
    <x v="1"/>
    <d v="2025-08-19T00:00:00"/>
    <x v="1"/>
    <n v="4"/>
  </r>
  <r>
    <s v="BK0212"/>
    <x v="66"/>
    <s v="Aarav Desai"/>
    <s v="Male"/>
    <n v="48"/>
    <x v="1"/>
    <s v="Manali Adventure"/>
    <x v="2"/>
    <n v="5"/>
    <n v="39000"/>
    <x v="0"/>
    <x v="1"/>
    <d v="2026-01-11T00:00:00"/>
    <x v="1"/>
    <n v="5"/>
  </r>
  <r>
    <s v="BK0213"/>
    <x v="164"/>
    <s v="Aarav Sharma"/>
    <s v="Female"/>
    <n v="46"/>
    <x v="4"/>
    <s v="Bali Beach Escape"/>
    <x v="3"/>
    <n v="6"/>
    <n v="52800"/>
    <x v="2"/>
    <x v="0"/>
    <d v="2025-04-26T00:00:00"/>
    <x v="2"/>
    <n v="5"/>
  </r>
  <r>
    <s v="BK0214"/>
    <x v="28"/>
    <s v="Myra Shah"/>
    <s v="Male"/>
    <n v="37"/>
    <x v="7"/>
    <s v="Goa Honeymoon Escape"/>
    <x v="1"/>
    <n v="5"/>
    <n v="41800"/>
    <x v="3"/>
    <x v="0"/>
    <d v="2026-01-22T00:00:00"/>
    <x v="1"/>
    <n v="5"/>
  </r>
  <r>
    <s v="BK0215"/>
    <x v="91"/>
    <s v="Arjun Desai"/>
    <s v="Female"/>
    <n v="20"/>
    <x v="4"/>
    <s v="Bali Bliss"/>
    <x v="1"/>
    <n v="2"/>
    <n v="18700"/>
    <x v="0"/>
    <x v="1"/>
    <d v="2025-06-17T00:00:00"/>
    <x v="5"/>
    <n v="5"/>
  </r>
  <r>
    <s v="BK0216"/>
    <x v="19"/>
    <s v="Vivaan Singh"/>
    <s v="Female"/>
    <n v="21"/>
    <x v="9"/>
    <s v="Kerala Honeymoon Escape"/>
    <x v="1"/>
    <n v="1"/>
    <n v="10000"/>
    <x v="0"/>
    <x v="1"/>
    <d v="2025-09-30T00:00:00"/>
    <x v="4"/>
    <n v="5"/>
  </r>
  <r>
    <s v="BK0217"/>
    <x v="44"/>
    <s v="Sara Desai"/>
    <s v="Male"/>
    <n v="43"/>
    <x v="0"/>
    <s v="Thailand Island Tour"/>
    <x v="2"/>
    <n v="3"/>
    <n v="29800"/>
    <x v="3"/>
    <x v="1"/>
    <d v="2025-10-30T00:00:00"/>
    <x v="2"/>
    <n v="4"/>
  </r>
  <r>
    <s v="BK0218"/>
    <x v="66"/>
    <s v="Aarav Gupta"/>
    <s v="Female"/>
    <n v="37"/>
    <x v="6"/>
    <s v="Dubai Deluxe"/>
    <x v="0"/>
    <n v="6"/>
    <n v="73000"/>
    <x v="1"/>
    <x v="1"/>
    <d v="2026-01-06T00:00:00"/>
    <x v="2"/>
    <n v="5"/>
  </r>
  <r>
    <s v="BK0219"/>
    <x v="28"/>
    <s v="Kabir Shah"/>
    <s v="Male"/>
    <n v="58"/>
    <x v="4"/>
    <s v="Bali Adventure"/>
    <x v="2"/>
    <n v="3"/>
    <n v="24800"/>
    <x v="1"/>
    <x v="1"/>
    <d v="2026-01-19T00:00:00"/>
    <x v="3"/>
    <n v="3"/>
  </r>
  <r>
    <s v="BK0220"/>
    <x v="168"/>
    <s v="Aanya Verma"/>
    <s v="Male"/>
    <n v="46"/>
    <x v="3"/>
    <s v="Rajasthan Royal Tour"/>
    <x v="0"/>
    <n v="1"/>
    <n v="8200"/>
    <x v="3"/>
    <x v="1"/>
    <d v="2025-12-20T00:00:00"/>
    <x v="5"/>
    <n v="4"/>
  </r>
  <r>
    <s v="BK0221"/>
    <x v="173"/>
    <s v="Arjun Pawar"/>
    <s v="Male"/>
    <n v="22"/>
    <x v="0"/>
    <s v="Thailand Family Escape"/>
    <x v="3"/>
    <n v="5"/>
    <n v="44000"/>
    <x v="2"/>
    <x v="1"/>
    <d v="2026-01-26T00:00:00"/>
    <x v="4"/>
    <n v="3"/>
  </r>
  <r>
    <s v="BK0222"/>
    <x v="99"/>
    <s v="Myra Verma"/>
    <s v="Male"/>
    <n v="20"/>
    <x v="6"/>
    <s v="Dubai City Explorer"/>
    <x v="3"/>
    <n v="4"/>
    <n v="43400"/>
    <x v="1"/>
    <x v="1"/>
    <d v="2025-07-16T00:00:00"/>
    <x v="2"/>
    <n v="5"/>
  </r>
  <r>
    <s v="BK0223"/>
    <x v="117"/>
    <s v="Sara Joshi"/>
    <s v="Male"/>
    <n v="20"/>
    <x v="3"/>
    <s v="Rajasthan Royal Tour"/>
    <x v="0"/>
    <n v="4"/>
    <n v="33100"/>
    <x v="2"/>
    <x v="1"/>
    <d v="2026-01-28T00:00:00"/>
    <x v="4"/>
    <n v="3"/>
  </r>
  <r>
    <s v="BK0224"/>
    <x v="102"/>
    <s v="Ishaan Sharma"/>
    <s v="Female"/>
    <n v="41"/>
    <x v="6"/>
    <s v="Dubai Deluxe"/>
    <x v="0"/>
    <n v="5"/>
    <n v="69700"/>
    <x v="1"/>
    <x v="1"/>
    <d v="2025-08-09T00:00:00"/>
    <x v="1"/>
    <n v="3"/>
  </r>
  <r>
    <s v="BK0225"/>
    <x v="174"/>
    <s v="Sara Mehta"/>
    <s v="Male"/>
    <n v="35"/>
    <x v="3"/>
    <s v="Rajasthan Royal Tour"/>
    <x v="0"/>
    <n v="2"/>
    <n v="19500"/>
    <x v="1"/>
    <x v="1"/>
    <d v="2025-06-02T00:00:00"/>
    <x v="4"/>
    <n v="4"/>
  </r>
  <r>
    <s v="BK0226"/>
    <x v="79"/>
    <s v="Aanya Verma"/>
    <s v="Male"/>
    <n v="46"/>
    <x v="5"/>
    <s v="Kashmir Valley Tour"/>
    <x v="3"/>
    <n v="3"/>
    <n v="24100"/>
    <x v="0"/>
    <x v="1"/>
    <d v="2025-10-09T00:00:00"/>
    <x v="4"/>
    <n v="5"/>
  </r>
  <r>
    <s v="BK0227"/>
    <x v="175"/>
    <s v="Kiara Pawar"/>
    <s v="Male"/>
    <n v="27"/>
    <x v="6"/>
    <s v="Dubai Adventure"/>
    <x v="2"/>
    <n v="1"/>
    <n v="12500"/>
    <x v="2"/>
    <x v="1"/>
    <d v="2025-04-02T00:00:00"/>
    <x v="5"/>
    <n v="5"/>
  </r>
  <r>
    <s v="BK0228"/>
    <x v="176"/>
    <s v="Aarav Gupta"/>
    <s v="Male"/>
    <n v="23"/>
    <x v="6"/>
    <s v="Dubai Adventure"/>
    <x v="2"/>
    <n v="2"/>
    <n v="22500"/>
    <x v="1"/>
    <x v="1"/>
    <d v="2025-06-22T00:00:00"/>
    <x v="1"/>
    <n v="4"/>
  </r>
  <r>
    <s v="BK0229"/>
    <x v="125"/>
    <s v="Aditya Verma"/>
    <s v="Male"/>
    <n v="25"/>
    <x v="2"/>
    <s v="Singapore Luxury"/>
    <x v="0"/>
    <n v="6"/>
    <n v="69000"/>
    <x v="1"/>
    <x v="1"/>
    <d v="2025-06-06T00:00:00"/>
    <x v="0"/>
    <n v="3"/>
  </r>
  <r>
    <s v="BK0230"/>
    <x v="61"/>
    <s v="Vihaan Mehta"/>
    <s v="Female"/>
    <n v="24"/>
    <x v="0"/>
    <s v="Thailand Luxury"/>
    <x v="0"/>
    <n v="5"/>
    <n v="60800"/>
    <x v="0"/>
    <x v="1"/>
    <d v="2025-04-30T00:00:00"/>
    <x v="5"/>
    <n v="4"/>
  </r>
  <r>
    <s v="BK0231"/>
    <x v="169"/>
    <s v="Aanya Desai"/>
    <s v="Male"/>
    <n v="36"/>
    <x v="1"/>
    <s v="Manali Snow Escape"/>
    <x v="3"/>
    <n v="1"/>
    <n v="5800"/>
    <x v="1"/>
    <x v="1"/>
    <d v="2025-07-10T00:00:00"/>
    <x v="3"/>
    <n v="4"/>
  </r>
  <r>
    <s v="BK0232"/>
    <x v="177"/>
    <s v="Arjun Sharma"/>
    <s v="Male"/>
    <n v="39"/>
    <x v="0"/>
    <s v="Thailand Family Escape"/>
    <x v="3"/>
    <n v="6"/>
    <n v="46600"/>
    <x v="0"/>
    <x v="0"/>
    <d v="2025-08-09T00:00:00"/>
    <x v="5"/>
    <n v="5"/>
  </r>
  <r>
    <s v="BK0233"/>
    <x v="178"/>
    <s v="Vivaan Desai"/>
    <s v="Female"/>
    <n v="41"/>
    <x v="1"/>
    <s v="Manali Adventure"/>
    <x v="2"/>
    <n v="6"/>
    <n v="42200"/>
    <x v="3"/>
    <x v="1"/>
    <d v="2025-11-19T00:00:00"/>
    <x v="2"/>
    <n v="4"/>
  </r>
  <r>
    <s v="BK0234"/>
    <x v="175"/>
    <s v="Rohan Joshi"/>
    <s v="Female"/>
    <n v="34"/>
    <x v="1"/>
    <s v="Manali Couple Retreat"/>
    <x v="1"/>
    <n v="5"/>
    <n v="43600"/>
    <x v="2"/>
    <x v="1"/>
    <d v="2025-05-20T00:00:00"/>
    <x v="3"/>
    <n v="5"/>
  </r>
  <r>
    <s v="BK0235"/>
    <x v="3"/>
    <s v="Arjun Patel"/>
    <s v="Male"/>
    <n v="24"/>
    <x v="6"/>
    <s v="Dubai Deluxe"/>
    <x v="0"/>
    <n v="4"/>
    <n v="54600"/>
    <x v="2"/>
    <x v="1"/>
    <d v="2025-11-10T00:00:00"/>
    <x v="3"/>
    <n v="4"/>
  </r>
  <r>
    <s v="BK0236"/>
    <x v="179"/>
    <s v="Diya Gupta"/>
    <s v="Male"/>
    <n v="51"/>
    <x v="5"/>
    <s v="Kashmir Honeymoon"/>
    <x v="1"/>
    <n v="6"/>
    <n v="51300"/>
    <x v="3"/>
    <x v="1"/>
    <d v="2025-10-18T00:00:00"/>
    <x v="4"/>
    <n v="5"/>
  </r>
  <r>
    <s v="BK0237"/>
    <x v="180"/>
    <s v="Aanya Desai"/>
    <s v="Male"/>
    <n v="58"/>
    <x v="8"/>
    <s v="Andaman Island Tour"/>
    <x v="2"/>
    <n v="2"/>
    <n v="19300"/>
    <x v="2"/>
    <x v="0"/>
    <d v="2025-04-30T00:00:00"/>
    <x v="1"/>
    <n v="3"/>
  </r>
  <r>
    <s v="BK0238"/>
    <x v="181"/>
    <s v="Rohan Sharma"/>
    <s v="Female"/>
    <n v="19"/>
    <x v="3"/>
    <s v="Rajasthan Royal Tour"/>
    <x v="0"/>
    <n v="5"/>
    <n v="47600"/>
    <x v="1"/>
    <x v="0"/>
    <d v="2025-05-30T00:00:00"/>
    <x v="5"/>
    <n v="3"/>
  </r>
  <r>
    <s v="BK0239"/>
    <x v="182"/>
    <s v="Arjun Desai"/>
    <s v="Female"/>
    <n v="38"/>
    <x v="9"/>
    <s v="Kerala Honeymoon Escape"/>
    <x v="1"/>
    <n v="6"/>
    <n v="49100"/>
    <x v="3"/>
    <x v="1"/>
    <d v="2025-12-24T00:00:00"/>
    <x v="0"/>
    <n v="5"/>
  </r>
  <r>
    <s v="BK0240"/>
    <x v="40"/>
    <s v="Ishaan Singh"/>
    <s v="Male"/>
    <n v="47"/>
    <x v="5"/>
    <s v="Kashmir Honeymoon"/>
    <x v="1"/>
    <n v="2"/>
    <n v="16700"/>
    <x v="0"/>
    <x v="1"/>
    <d v="2025-08-12T00:00:00"/>
    <x v="3"/>
    <n v="4"/>
  </r>
  <r>
    <s v="BK0241"/>
    <x v="183"/>
    <s v="Vihaan Pawar"/>
    <s v="Female"/>
    <n v="42"/>
    <x v="3"/>
    <s v="Rajasthan Royal Tour"/>
    <x v="0"/>
    <n v="1"/>
    <n v="8300"/>
    <x v="3"/>
    <x v="1"/>
    <d v="2025-11-07T00:00:00"/>
    <x v="4"/>
    <n v="5"/>
  </r>
  <r>
    <s v="BK0242"/>
    <x v="184"/>
    <s v="Vivaan Gupta"/>
    <s v="Male"/>
    <n v="18"/>
    <x v="5"/>
    <s v="Kashmir Honeymoon"/>
    <x v="1"/>
    <n v="3"/>
    <n v="33300"/>
    <x v="2"/>
    <x v="1"/>
    <d v="2025-04-16T00:00:00"/>
    <x v="0"/>
    <n v="4"/>
  </r>
  <r>
    <s v="BK0243"/>
    <x v="185"/>
    <s v="Sara Patel"/>
    <s v="Female"/>
    <n v="28"/>
    <x v="7"/>
    <s v="Goa Beach Paradise"/>
    <x v="3"/>
    <n v="4"/>
    <n v="23900"/>
    <x v="3"/>
    <x v="1"/>
    <d v="2025-06-01T00:00:00"/>
    <x v="3"/>
    <n v="5"/>
  </r>
  <r>
    <s v="BK0244"/>
    <x v="138"/>
    <s v="Rohan Desai"/>
    <s v="Male"/>
    <n v="59"/>
    <x v="4"/>
    <s v="Bali Adventure"/>
    <x v="2"/>
    <n v="1"/>
    <n v="8700"/>
    <x v="2"/>
    <x v="1"/>
    <d v="2025-11-09T00:00:00"/>
    <x v="0"/>
    <n v="5"/>
  </r>
  <r>
    <s v="BK0245"/>
    <x v="186"/>
    <s v="Meera Singh"/>
    <s v="Female"/>
    <n v="20"/>
    <x v="7"/>
    <s v="Goa Adventure"/>
    <x v="2"/>
    <n v="6"/>
    <n v="49300"/>
    <x v="2"/>
    <x v="0"/>
    <d v="2025-03-18T00:00:00"/>
    <x v="5"/>
    <n v="4"/>
  </r>
  <r>
    <s v="BK0246"/>
    <x v="187"/>
    <s v="Arjun Verma"/>
    <s v="Male"/>
    <n v="35"/>
    <x v="2"/>
    <s v="Singapore City Tour"/>
    <x v="3"/>
    <n v="4"/>
    <n v="44600"/>
    <x v="0"/>
    <x v="1"/>
    <d v="2025-07-21T00:00:00"/>
    <x v="1"/>
    <n v="5"/>
  </r>
  <r>
    <s v="BK0247"/>
    <x v="188"/>
    <s v="Anaya Pawar"/>
    <s v="Female"/>
    <n v="33"/>
    <x v="3"/>
    <s v="Rajasthan Royal Tour"/>
    <x v="0"/>
    <n v="6"/>
    <n v="46400"/>
    <x v="3"/>
    <x v="1"/>
    <d v="2026-04-04T00:00:00"/>
    <x v="4"/>
    <n v="4"/>
  </r>
  <r>
    <s v="BK0248"/>
    <x v="129"/>
    <s v="Diya Shah"/>
    <s v="Male"/>
    <n v="56"/>
    <x v="6"/>
    <s v="Dubai Adventure"/>
    <x v="2"/>
    <n v="3"/>
    <n v="38800"/>
    <x v="2"/>
    <x v="1"/>
    <d v="2025-12-18T00:00:00"/>
    <x v="5"/>
    <n v="4"/>
  </r>
  <r>
    <s v="BK0249"/>
    <x v="70"/>
    <s v="Diya Mehta"/>
    <s v="Female"/>
    <n v="39"/>
    <x v="4"/>
    <s v="Bali Beach Escape"/>
    <x v="3"/>
    <n v="3"/>
    <n v="25900"/>
    <x v="2"/>
    <x v="1"/>
    <d v="2025-06-25T00:00:00"/>
    <x v="1"/>
    <n v="4"/>
  </r>
  <r>
    <s v="BK0250"/>
    <x v="189"/>
    <s v="Aanya Verma"/>
    <s v="Male"/>
    <n v="39"/>
    <x v="4"/>
    <s v="Bali Beach Escape"/>
    <x v="3"/>
    <n v="1"/>
    <n v="8100"/>
    <x v="0"/>
    <x v="1"/>
    <d v="2026-02-04T00:00:00"/>
    <x v="2"/>
    <n v="3"/>
  </r>
  <r>
    <s v="BK0251"/>
    <x v="170"/>
    <s v="Arjun Mehta"/>
    <s v="Male"/>
    <n v="53"/>
    <x v="4"/>
    <s v="Bali Adventure"/>
    <x v="2"/>
    <n v="1"/>
    <n v="9200"/>
    <x v="2"/>
    <x v="0"/>
    <d v="2025-07-15T00:00:00"/>
    <x v="3"/>
    <n v="5"/>
  </r>
  <r>
    <s v="BK0252"/>
    <x v="190"/>
    <s v="Vihaan Singh"/>
    <s v="Female"/>
    <n v="36"/>
    <x v="8"/>
    <s v="Andaman Escape"/>
    <x v="1"/>
    <n v="2"/>
    <n v="22800"/>
    <x v="0"/>
    <x v="1"/>
    <d v="2025-11-09T00:00:00"/>
    <x v="1"/>
    <n v="5"/>
  </r>
  <r>
    <s v="BK0253"/>
    <x v="191"/>
    <s v="Myra Patel"/>
    <s v="Female"/>
    <n v="59"/>
    <x v="3"/>
    <s v="Rajasthan Heritage"/>
    <x v="4"/>
    <n v="1"/>
    <n v="5500"/>
    <x v="2"/>
    <x v="1"/>
    <d v="2025-08-26T00:00:00"/>
    <x v="1"/>
    <n v="5"/>
  </r>
  <r>
    <s v="BK0254"/>
    <x v="104"/>
    <s v="Aditya Gupta"/>
    <s v="Male"/>
    <n v="32"/>
    <x v="0"/>
    <s v="Thailand Luxury"/>
    <x v="0"/>
    <n v="2"/>
    <n v="22100"/>
    <x v="3"/>
    <x v="1"/>
    <d v="2025-03-25T00:00:00"/>
    <x v="2"/>
    <n v="5"/>
  </r>
  <r>
    <s v="BK0255"/>
    <x v="122"/>
    <s v="Rohan Verma"/>
    <s v="Female"/>
    <n v="45"/>
    <x v="0"/>
    <s v="Thailand Island Tour"/>
    <x v="2"/>
    <n v="5"/>
    <n v="42500"/>
    <x v="1"/>
    <x v="0"/>
    <d v="2025-10-29T00:00:00"/>
    <x v="0"/>
    <n v="4"/>
  </r>
  <r>
    <s v="BK0256"/>
    <x v="56"/>
    <s v="Ishaan Singh"/>
    <s v="Female"/>
    <n v="20"/>
    <x v="3"/>
    <s v="Rajasthan Royal Tour"/>
    <x v="0"/>
    <n v="3"/>
    <n v="25400"/>
    <x v="3"/>
    <x v="1"/>
    <d v="2025-05-18T00:00:00"/>
    <x v="0"/>
    <n v="5"/>
  </r>
  <r>
    <s v="BK0257"/>
    <x v="151"/>
    <s v="Arjun Gupta"/>
    <s v="Female"/>
    <n v="58"/>
    <x v="8"/>
    <s v="Andaman Island Tour"/>
    <x v="2"/>
    <n v="6"/>
    <n v="48700"/>
    <x v="0"/>
    <x v="1"/>
    <d v="2026-01-06T00:00:00"/>
    <x v="3"/>
    <n v="4"/>
  </r>
  <r>
    <s v="BK0258"/>
    <x v="50"/>
    <s v="Myra Shah"/>
    <s v="Male"/>
    <n v="26"/>
    <x v="1"/>
    <s v="Manali Adventure"/>
    <x v="2"/>
    <n v="5"/>
    <n v="34600"/>
    <x v="1"/>
    <x v="1"/>
    <d v="2026-02-07T00:00:00"/>
    <x v="3"/>
    <n v="5"/>
  </r>
  <r>
    <s v="BK0259"/>
    <x v="2"/>
    <s v="Kiara Desai"/>
    <s v="Male"/>
    <n v="24"/>
    <x v="8"/>
    <s v="Andaman Escape"/>
    <x v="1"/>
    <n v="6"/>
    <n v="56000"/>
    <x v="2"/>
    <x v="0"/>
    <d v="2025-11-09T00:00:00"/>
    <x v="4"/>
    <n v="5"/>
  </r>
  <r>
    <s v="BK0260"/>
    <x v="38"/>
    <s v="Sara Shah"/>
    <s v="Male"/>
    <n v="23"/>
    <x v="8"/>
    <s v="Andaman Escape"/>
    <x v="1"/>
    <n v="6"/>
    <n v="55300"/>
    <x v="0"/>
    <x v="1"/>
    <d v="2025-09-03T00:00:00"/>
    <x v="3"/>
    <n v="5"/>
  </r>
  <r>
    <s v="BK0261"/>
    <x v="163"/>
    <s v="Ishaan Desai"/>
    <s v="Female"/>
    <n v="54"/>
    <x v="1"/>
    <s v="Manali Snow Escape"/>
    <x v="3"/>
    <n v="3"/>
    <n v="21000"/>
    <x v="0"/>
    <x v="1"/>
    <d v="2025-09-12T00:00:00"/>
    <x v="2"/>
    <n v="4"/>
  </r>
  <r>
    <s v="BK0262"/>
    <x v="192"/>
    <s v="Diya Joshi"/>
    <s v="Female"/>
    <n v="35"/>
    <x v="0"/>
    <s v="Thailand Family Escape"/>
    <x v="3"/>
    <n v="3"/>
    <n v="23800"/>
    <x v="3"/>
    <x v="1"/>
    <d v="2025-02-21T00:00:00"/>
    <x v="2"/>
    <n v="5"/>
  </r>
  <r>
    <s v="BK0263"/>
    <x v="193"/>
    <s v="Diya Joshi"/>
    <s v="Female"/>
    <n v="42"/>
    <x v="1"/>
    <s v="Manali Couple Retreat"/>
    <x v="1"/>
    <n v="6"/>
    <n v="57300"/>
    <x v="1"/>
    <x v="0"/>
    <d v="2025-10-24T00:00:00"/>
    <x v="3"/>
    <n v="5"/>
  </r>
  <r>
    <s v="BK0264"/>
    <x v="194"/>
    <s v="Aanya Desai"/>
    <s v="Male"/>
    <n v="42"/>
    <x v="1"/>
    <s v="Manali Snow Escape"/>
    <x v="3"/>
    <n v="3"/>
    <n v="17700"/>
    <x v="0"/>
    <x v="1"/>
    <d v="2025-10-19T00:00:00"/>
    <x v="2"/>
    <n v="5"/>
  </r>
  <r>
    <s v="BK0265"/>
    <x v="195"/>
    <s v="Arjun Gupta"/>
    <s v="Male"/>
    <n v="59"/>
    <x v="5"/>
    <s v="Kashmir Valley Tour"/>
    <x v="3"/>
    <n v="1"/>
    <n v="7300"/>
    <x v="1"/>
    <x v="0"/>
    <d v="2026-03-01T00:00:00"/>
    <x v="3"/>
    <n v="5"/>
  </r>
  <r>
    <s v="BK0266"/>
    <x v="196"/>
    <s v="Aditya Mehta"/>
    <s v="Male"/>
    <n v="45"/>
    <x v="2"/>
    <s v="Singapore Explorer"/>
    <x v="2"/>
    <n v="5"/>
    <n v="46700"/>
    <x v="1"/>
    <x v="1"/>
    <d v="2025-06-10T00:00:00"/>
    <x v="1"/>
    <n v="3"/>
  </r>
  <r>
    <s v="BK0267"/>
    <x v="197"/>
    <s v="Anaya Desai"/>
    <s v="Male"/>
    <n v="20"/>
    <x v="7"/>
    <s v="Goa Beach Paradise"/>
    <x v="3"/>
    <n v="3"/>
    <n v="21200"/>
    <x v="0"/>
    <x v="1"/>
    <d v="2025-06-08T00:00:00"/>
    <x v="4"/>
    <n v="4"/>
  </r>
  <r>
    <s v="BK0268"/>
    <x v="198"/>
    <s v="Kabir Singh"/>
    <s v="Male"/>
    <n v="18"/>
    <x v="8"/>
    <s v="Andaman Escape"/>
    <x v="1"/>
    <n v="1"/>
    <n v="10800"/>
    <x v="2"/>
    <x v="1"/>
    <d v="2025-04-03T00:00:00"/>
    <x v="3"/>
    <n v="4"/>
  </r>
  <r>
    <s v="BK0269"/>
    <x v="199"/>
    <s v="Kiara Sharma"/>
    <s v="Female"/>
    <n v="23"/>
    <x v="4"/>
    <s v="Bali Beach Escape"/>
    <x v="3"/>
    <n v="6"/>
    <n v="57700"/>
    <x v="0"/>
    <x v="1"/>
    <d v="2025-07-21T00:00:00"/>
    <x v="1"/>
    <n v="5"/>
  </r>
  <r>
    <s v="BK0270"/>
    <x v="200"/>
    <s v="Myra Verma"/>
    <s v="Male"/>
    <n v="35"/>
    <x v="9"/>
    <s v="Kerala Backwaters"/>
    <x v="3"/>
    <n v="5"/>
    <n v="40000"/>
    <x v="1"/>
    <x v="1"/>
    <d v="2025-09-25T00:00:00"/>
    <x v="0"/>
    <n v="4"/>
  </r>
  <r>
    <s v="BK0271"/>
    <x v="201"/>
    <s v="Arjun Gupta"/>
    <s v="Female"/>
    <n v="18"/>
    <x v="1"/>
    <s v="Manali Adventure"/>
    <x v="2"/>
    <n v="2"/>
    <n v="13000"/>
    <x v="1"/>
    <x v="1"/>
    <d v="2025-07-15T00:00:00"/>
    <x v="3"/>
    <n v="5"/>
  </r>
  <r>
    <s v="BK0272"/>
    <x v="198"/>
    <s v="Anaya Pawar"/>
    <s v="Female"/>
    <n v="56"/>
    <x v="7"/>
    <s v="Goa Honeymoon Escape"/>
    <x v="1"/>
    <n v="2"/>
    <n v="19500"/>
    <x v="2"/>
    <x v="1"/>
    <d v="2025-07-01T00:00:00"/>
    <x v="4"/>
    <n v="4"/>
  </r>
  <r>
    <s v="BK0273"/>
    <x v="202"/>
    <s v="Anaya Joshi"/>
    <s v="Female"/>
    <n v="34"/>
    <x v="0"/>
    <s v="Thailand Family Escape"/>
    <x v="3"/>
    <n v="5"/>
    <n v="40500"/>
    <x v="2"/>
    <x v="1"/>
    <d v="2025-06-15T00:00:00"/>
    <x v="1"/>
    <n v="4"/>
  </r>
  <r>
    <s v="BK0274"/>
    <x v="18"/>
    <s v="Meera Joshi"/>
    <s v="Female"/>
    <n v="56"/>
    <x v="2"/>
    <s v="Singapore Explorer"/>
    <x v="2"/>
    <n v="3"/>
    <n v="35900"/>
    <x v="0"/>
    <x v="0"/>
    <d v="2026-01-21T00:00:00"/>
    <x v="2"/>
    <n v="3"/>
  </r>
  <r>
    <s v="BK0275"/>
    <x v="203"/>
    <s v="Aditya Desai"/>
    <s v="Female"/>
    <n v="55"/>
    <x v="3"/>
    <s v="Rajasthan Royal Tour"/>
    <x v="0"/>
    <n v="5"/>
    <n v="45400"/>
    <x v="1"/>
    <x v="1"/>
    <d v="2025-02-04T00:00:00"/>
    <x v="4"/>
    <n v="5"/>
  </r>
  <r>
    <s v="BK0276"/>
    <x v="204"/>
    <s v="Kiara Shah"/>
    <s v="Female"/>
    <n v="43"/>
    <x v="2"/>
    <s v="Singapore Luxury"/>
    <x v="0"/>
    <n v="5"/>
    <n v="71600"/>
    <x v="2"/>
    <x v="0"/>
    <d v="2025-07-14T00:00:00"/>
    <x v="1"/>
    <n v="4"/>
  </r>
  <r>
    <s v="BK0277"/>
    <x v="205"/>
    <s v="Diya Verma"/>
    <s v="Male"/>
    <n v="28"/>
    <x v="5"/>
    <s v="Kashmir Valley Tour"/>
    <x v="3"/>
    <n v="2"/>
    <n v="13300"/>
    <x v="0"/>
    <x v="1"/>
    <d v="2025-06-19T00:00:00"/>
    <x v="1"/>
    <n v="4"/>
  </r>
  <r>
    <s v="BK0278"/>
    <x v="50"/>
    <s v="Arjun Singh"/>
    <s v="Female"/>
    <n v="23"/>
    <x v="5"/>
    <s v="Kashmir Honeymoon"/>
    <x v="1"/>
    <n v="1"/>
    <n v="9100"/>
    <x v="3"/>
    <x v="1"/>
    <d v="2026-02-27T00:00:00"/>
    <x v="4"/>
    <n v="4"/>
  </r>
  <r>
    <s v="BK0279"/>
    <x v="206"/>
    <s v="Vivaan Verma"/>
    <s v="Male"/>
    <n v="49"/>
    <x v="4"/>
    <s v="Bali Bliss"/>
    <x v="1"/>
    <n v="5"/>
    <n v="55500"/>
    <x v="2"/>
    <x v="1"/>
    <d v="2025-11-21T00:00:00"/>
    <x v="5"/>
    <n v="4"/>
  </r>
  <r>
    <s v="BK0280"/>
    <x v="161"/>
    <s v="Kabir Gupta"/>
    <s v="Male"/>
    <n v="55"/>
    <x v="8"/>
    <s v="Andaman Escape"/>
    <x v="1"/>
    <n v="2"/>
    <n v="22000"/>
    <x v="3"/>
    <x v="1"/>
    <d v="2025-03-27T00:00:00"/>
    <x v="3"/>
    <n v="5"/>
  </r>
  <r>
    <s v="BK0281"/>
    <x v="75"/>
    <s v="Kiara Joshi"/>
    <s v="Female"/>
    <n v="48"/>
    <x v="6"/>
    <s v="Dubai Adventure"/>
    <x v="2"/>
    <n v="5"/>
    <n v="62500"/>
    <x v="2"/>
    <x v="1"/>
    <d v="2026-03-04T00:00:00"/>
    <x v="1"/>
    <n v="4"/>
  </r>
  <r>
    <s v="BK0282"/>
    <x v="6"/>
    <s v="Diya Singh"/>
    <s v="Male"/>
    <n v="52"/>
    <x v="7"/>
    <s v="Goa Honeymoon Escape"/>
    <x v="1"/>
    <n v="4"/>
    <n v="40900"/>
    <x v="2"/>
    <x v="0"/>
    <d v="2025-12-07T00:00:00"/>
    <x v="3"/>
    <n v="5"/>
  </r>
  <r>
    <s v="BK0283"/>
    <x v="148"/>
    <s v="Rohan Verma"/>
    <s v="Male"/>
    <n v="25"/>
    <x v="9"/>
    <s v="Kerala Nature Retreat"/>
    <x v="2"/>
    <n v="2"/>
    <n v="16400"/>
    <x v="3"/>
    <x v="1"/>
    <d v="2025-11-20T00:00:00"/>
    <x v="4"/>
    <n v="5"/>
  </r>
  <r>
    <s v="BK0284"/>
    <x v="106"/>
    <s v="Anaya Gupta"/>
    <s v="Male"/>
    <n v="54"/>
    <x v="7"/>
    <s v="Goa Adventure"/>
    <x v="2"/>
    <n v="3"/>
    <n v="23100"/>
    <x v="0"/>
    <x v="1"/>
    <d v="2026-01-22T00:00:00"/>
    <x v="0"/>
    <n v="4"/>
  </r>
  <r>
    <s v="BK0285"/>
    <x v="80"/>
    <s v="Ishaan Singh"/>
    <s v="Male"/>
    <n v="31"/>
    <x v="5"/>
    <s v="Kashmir Honeymoon"/>
    <x v="1"/>
    <n v="1"/>
    <n v="10100"/>
    <x v="2"/>
    <x v="1"/>
    <d v="2025-11-08T00:00:00"/>
    <x v="3"/>
    <n v="4"/>
  </r>
  <r>
    <s v="BK0286"/>
    <x v="207"/>
    <s v="Aanya Pawar"/>
    <s v="Male"/>
    <n v="23"/>
    <x v="3"/>
    <s v="Rajasthan Heritage"/>
    <x v="4"/>
    <n v="3"/>
    <n v="18600"/>
    <x v="3"/>
    <x v="1"/>
    <d v="2026-01-15T00:00:00"/>
    <x v="0"/>
    <n v="4"/>
  </r>
  <r>
    <s v="BK0287"/>
    <x v="44"/>
    <s v="Vivaan Patel"/>
    <s v="Male"/>
    <n v="49"/>
    <x v="8"/>
    <s v="Andaman Escape"/>
    <x v="1"/>
    <n v="4"/>
    <n v="37300"/>
    <x v="0"/>
    <x v="1"/>
    <d v="2025-10-13T00:00:00"/>
    <x v="1"/>
    <n v="5"/>
  </r>
  <r>
    <s v="BK0288"/>
    <x v="89"/>
    <s v="Myra Gupta"/>
    <s v="Male"/>
    <n v="51"/>
    <x v="6"/>
    <s v="Dubai Adventure"/>
    <x v="2"/>
    <n v="2"/>
    <n v="24500"/>
    <x v="2"/>
    <x v="1"/>
    <d v="2025-03-29T00:00:00"/>
    <x v="1"/>
    <n v="4"/>
  </r>
  <r>
    <s v="BK0289"/>
    <x v="208"/>
    <s v="Diya Singh"/>
    <s v="Female"/>
    <n v="19"/>
    <x v="4"/>
    <s v="Bali Bliss"/>
    <x v="1"/>
    <n v="3"/>
    <n v="32000"/>
    <x v="2"/>
    <x v="1"/>
    <d v="2025-12-24T00:00:00"/>
    <x v="0"/>
    <n v="5"/>
  </r>
  <r>
    <s v="BK0290"/>
    <x v="45"/>
    <s v="Anaya Shah"/>
    <s v="Female"/>
    <n v="38"/>
    <x v="6"/>
    <s v="Dubai Deluxe"/>
    <x v="0"/>
    <n v="2"/>
    <n v="27800"/>
    <x v="2"/>
    <x v="1"/>
    <d v="2026-01-06T00:00:00"/>
    <x v="0"/>
    <n v="5"/>
  </r>
  <r>
    <s v="BK0291"/>
    <x v="209"/>
    <s v="Kabir Sharma"/>
    <s v="Male"/>
    <n v="37"/>
    <x v="6"/>
    <s v="Dubai City Explorer"/>
    <x v="3"/>
    <n v="2"/>
    <n v="19100"/>
    <x v="2"/>
    <x v="1"/>
    <d v="2025-08-26T00:00:00"/>
    <x v="3"/>
    <n v="4"/>
  </r>
  <r>
    <s v="BK0292"/>
    <x v="210"/>
    <s v="Kiara Shah"/>
    <s v="Male"/>
    <n v="59"/>
    <x v="1"/>
    <s v="Manali Couple Retreat"/>
    <x v="1"/>
    <n v="3"/>
    <n v="24900"/>
    <x v="3"/>
    <x v="0"/>
    <d v="2026-01-13T00:00:00"/>
    <x v="0"/>
    <n v="5"/>
  </r>
  <r>
    <s v="BK0293"/>
    <x v="211"/>
    <s v="Myra Sharma"/>
    <s v="Male"/>
    <n v="29"/>
    <x v="5"/>
    <s v="Kashmir Valley Tour"/>
    <x v="3"/>
    <n v="4"/>
    <n v="29500"/>
    <x v="3"/>
    <x v="0"/>
    <d v="2025-04-18T00:00:00"/>
    <x v="0"/>
    <n v="4"/>
  </r>
  <r>
    <s v="BK0294"/>
    <x v="65"/>
    <s v="Ishaan Sharma"/>
    <s v="Female"/>
    <n v="45"/>
    <x v="4"/>
    <s v="Bali Adventure"/>
    <x v="2"/>
    <n v="5"/>
    <n v="40300"/>
    <x v="1"/>
    <x v="1"/>
    <d v="2025-10-22T00:00:00"/>
    <x v="5"/>
    <n v="3"/>
  </r>
  <r>
    <s v="BK0295"/>
    <x v="212"/>
    <s v="Diya Shah"/>
    <s v="Female"/>
    <n v="46"/>
    <x v="0"/>
    <s v="Thailand Luxury"/>
    <x v="0"/>
    <n v="1"/>
    <n v="12200"/>
    <x v="2"/>
    <x v="0"/>
    <d v="2025-05-24T00:00:00"/>
    <x v="3"/>
    <n v="4"/>
  </r>
  <r>
    <s v="BK0296"/>
    <x v="70"/>
    <s v="Aarav Joshi"/>
    <s v="Female"/>
    <n v="24"/>
    <x v="5"/>
    <s v="Kashmir Valley Tour"/>
    <x v="3"/>
    <n v="5"/>
    <n v="38000"/>
    <x v="0"/>
    <x v="1"/>
    <d v="2025-08-08T00:00:00"/>
    <x v="3"/>
    <n v="3"/>
  </r>
  <r>
    <s v="BK0297"/>
    <x v="70"/>
    <s v="Vihaan Pawar"/>
    <s v="Female"/>
    <n v="43"/>
    <x v="6"/>
    <s v="Dubai Deluxe"/>
    <x v="0"/>
    <n v="4"/>
    <n v="48400"/>
    <x v="2"/>
    <x v="1"/>
    <d v="2025-07-03T00:00:00"/>
    <x v="5"/>
    <n v="5"/>
  </r>
  <r>
    <s v="BK0298"/>
    <x v="213"/>
    <s v="Anaya Patel"/>
    <s v="Female"/>
    <n v="42"/>
    <x v="1"/>
    <s v="Manali Couple Retreat"/>
    <x v="1"/>
    <n v="5"/>
    <n v="40800"/>
    <x v="2"/>
    <x v="1"/>
    <d v="2025-09-23T00:00:00"/>
    <x v="3"/>
    <n v="4"/>
  </r>
  <r>
    <s v="BK0299"/>
    <x v="208"/>
    <s v="Vihaan Patel"/>
    <s v="Female"/>
    <n v="24"/>
    <x v="1"/>
    <s v="Manali Adventure"/>
    <x v="2"/>
    <n v="4"/>
    <n v="27000"/>
    <x v="0"/>
    <x v="1"/>
    <d v="2025-12-03T00:00:00"/>
    <x v="4"/>
    <n v="4"/>
  </r>
  <r>
    <s v="BK0300"/>
    <x v="191"/>
    <s v="Aditya Verma"/>
    <s v="Male"/>
    <n v="24"/>
    <x v="7"/>
    <s v="Goa Adventure"/>
    <x v="2"/>
    <n v="4"/>
    <n v="26700"/>
    <x v="2"/>
    <x v="1"/>
    <d v="2025-08-01T00:00:00"/>
    <x v="3"/>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T_Bookings_PackageType" cacheId="1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
  <location ref="D3:E9" firstHeaderRow="1" firstDataRow="1" firstDataCol="1"/>
  <pivotFields count="17">
    <pivotField dataField="1" showAll="0"/>
    <pivotField numFmtId="164" showAll="0">
      <items count="215">
        <item x="88"/>
        <item x="159"/>
        <item x="104"/>
        <item x="83"/>
        <item x="73"/>
        <item x="20"/>
        <item x="101"/>
        <item x="184"/>
        <item x="17"/>
        <item x="166"/>
        <item x="186"/>
        <item x="192"/>
        <item x="134"/>
        <item x="86"/>
        <item x="21"/>
        <item x="51"/>
        <item x="31"/>
        <item x="203"/>
        <item x="76"/>
        <item x="149"/>
        <item x="140"/>
        <item x="13"/>
        <item x="116"/>
        <item x="34"/>
        <item x="78"/>
        <item x="41"/>
        <item x="1"/>
        <item x="175"/>
        <item x="11"/>
        <item x="185"/>
        <item x="89"/>
        <item x="197"/>
        <item x="12"/>
        <item x="202"/>
        <item x="23"/>
        <item x="161"/>
        <item x="33"/>
        <item x="0"/>
        <item x="16"/>
        <item x="5"/>
        <item x="125"/>
        <item x="14"/>
        <item x="56"/>
        <item x="164"/>
        <item x="59"/>
        <item x="113"/>
        <item x="9"/>
        <item x="196"/>
        <item x="27"/>
        <item x="198"/>
        <item x="121"/>
        <item x="68"/>
        <item x="211"/>
        <item x="111"/>
        <item x="61"/>
        <item x="52"/>
        <item x="46"/>
        <item x="49"/>
        <item x="143"/>
        <item x="58"/>
        <item x="170"/>
        <item x="212"/>
        <item x="146"/>
        <item x="102"/>
        <item x="94"/>
        <item x="53"/>
        <item x="187"/>
        <item x="70"/>
        <item x="144"/>
        <item x="60"/>
        <item x="180"/>
        <item x="177"/>
        <item x="43"/>
        <item x="176"/>
        <item x="174"/>
        <item x="105"/>
        <item x="139"/>
        <item x="205"/>
        <item x="91"/>
        <item x="25"/>
        <item x="90"/>
        <item x="7"/>
        <item x="181"/>
        <item x="142"/>
        <item x="87"/>
        <item x="54"/>
        <item x="153"/>
        <item x="204"/>
        <item x="199"/>
        <item x="160"/>
        <item x="120"/>
        <item x="115"/>
        <item x="93"/>
        <item x="201"/>
        <item x="67"/>
        <item x="209"/>
        <item x="145"/>
        <item x="42"/>
        <item x="19"/>
        <item x="171"/>
        <item x="99"/>
        <item x="169"/>
        <item x="36"/>
        <item x="191"/>
        <item x="108"/>
        <item x="179"/>
        <item x="37"/>
        <item x="103"/>
        <item x="165"/>
        <item x="135"/>
        <item x="82"/>
        <item x="15"/>
        <item x="133"/>
        <item x="193"/>
        <item x="122"/>
        <item x="30"/>
        <item x="71"/>
        <item x="178"/>
        <item x="40"/>
        <item x="39"/>
        <item x="96"/>
        <item x="128"/>
        <item x="213"/>
        <item x="24"/>
        <item x="172"/>
        <item x="163"/>
        <item x="77"/>
        <item x="123"/>
        <item x="190"/>
        <item x="22"/>
        <item x="69"/>
        <item x="130"/>
        <item x="127"/>
        <item x="38"/>
        <item x="158"/>
        <item x="97"/>
        <item x="194"/>
        <item x="74"/>
        <item x="3"/>
        <item x="64"/>
        <item x="206"/>
        <item x="129"/>
        <item x="57"/>
        <item x="6"/>
        <item x="44"/>
        <item x="154"/>
        <item x="155"/>
        <item x="132"/>
        <item x="95"/>
        <item x="148"/>
        <item x="208"/>
        <item x="65"/>
        <item x="200"/>
        <item x="114"/>
        <item x="2"/>
        <item x="8"/>
        <item x="109"/>
        <item x="112"/>
        <item x="119"/>
        <item x="98"/>
        <item x="47"/>
        <item x="79"/>
        <item x="207"/>
        <item x="118"/>
        <item x="162"/>
        <item x="48"/>
        <item x="136"/>
        <item x="126"/>
        <item x="28"/>
        <item x="18"/>
        <item x="4"/>
        <item x="66"/>
        <item x="138"/>
        <item x="168"/>
        <item x="183"/>
        <item x="167"/>
        <item x="80"/>
        <item x="189"/>
        <item x="92"/>
        <item x="72"/>
        <item x="124"/>
        <item x="106"/>
        <item x="32"/>
        <item x="152"/>
        <item x="85"/>
        <item x="63"/>
        <item x="50"/>
        <item x="173"/>
        <item x="117"/>
        <item x="157"/>
        <item x="29"/>
        <item x="131"/>
        <item x="141"/>
        <item x="45"/>
        <item x="150"/>
        <item x="26"/>
        <item x="147"/>
        <item x="75"/>
        <item x="10"/>
        <item x="182"/>
        <item x="156"/>
        <item x="35"/>
        <item x="107"/>
        <item x="210"/>
        <item x="100"/>
        <item x="62"/>
        <item x="81"/>
        <item x="55"/>
        <item x="151"/>
        <item x="188"/>
        <item x="110"/>
        <item x="195"/>
        <item x="84"/>
        <item x="137"/>
        <item t="default"/>
      </items>
    </pivotField>
    <pivotField showAll="0"/>
    <pivotField showAll="0"/>
    <pivotField showAll="0"/>
    <pivotField showAll="0">
      <items count="11">
        <item x="8"/>
        <item x="4"/>
        <item x="6"/>
        <item x="7"/>
        <item x="5"/>
        <item x="9"/>
        <item x="1"/>
        <item x="3"/>
        <item x="2"/>
        <item x="0"/>
        <item t="default"/>
      </items>
    </pivotField>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165" showAll="0"/>
    <pivotField showAll="0">
      <items count="5">
        <item x="0"/>
        <item x="3"/>
        <item x="1"/>
        <item x="2"/>
        <item t="default"/>
      </items>
    </pivotField>
    <pivotField showAll="0">
      <items count="3">
        <item x="0"/>
        <item x="1"/>
        <item t="default"/>
      </items>
    </pivotField>
    <pivotField numFmtId="164" showAll="0"/>
    <pivotField showAll="0">
      <items count="7">
        <item x="3"/>
        <item x="0"/>
        <item x="1"/>
        <item x="2"/>
        <item x="4"/>
        <item x="5"/>
        <item t="default"/>
      </items>
    </pivotField>
    <pivotField showAll="0"/>
    <pivotField showAll="0">
      <items count="15">
        <item h="1" x="0"/>
        <item x="1"/>
        <item x="2"/>
        <item x="3"/>
        <item x="4"/>
        <item x="5"/>
        <item x="6"/>
        <item x="7"/>
        <item x="8"/>
        <item h="1" x="9"/>
        <item h="1" x="10"/>
        <item h="1" x="11"/>
        <item h="1" x="12"/>
        <item h="1" x="13"/>
        <item t="default"/>
      </items>
    </pivotField>
    <pivotField showAll="0">
      <items count="5">
        <item x="1"/>
        <item x="2"/>
        <item x="0"/>
        <item x="3"/>
        <item t="default"/>
      </items>
    </pivotField>
  </pivotFields>
  <rowFields count="1">
    <field x="7"/>
  </rowFields>
  <rowItems count="6">
    <i>
      <x v="3"/>
    </i>
    <i>
      <x v="2"/>
    </i>
    <i>
      <x v="1"/>
    </i>
    <i>
      <x/>
    </i>
    <i>
      <x v="4"/>
    </i>
    <i t="grand">
      <x/>
    </i>
  </rowItems>
  <colItems count="1">
    <i/>
  </colItems>
  <dataFields count="1">
    <dataField name="Count of Booking ID"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T_KPI" cacheId="1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
  <location ref="T3:W5" firstHeaderRow="1" firstDataRow="2" firstDataCol="0"/>
  <pivotFields count="17">
    <pivotField dataField="1" showAll="0"/>
    <pivotField numFmtId="164" showAll="0">
      <items count="215">
        <item x="88"/>
        <item x="159"/>
        <item x="104"/>
        <item x="83"/>
        <item x="73"/>
        <item x="20"/>
        <item x="101"/>
        <item x="184"/>
        <item x="17"/>
        <item x="166"/>
        <item x="186"/>
        <item x="192"/>
        <item x="134"/>
        <item x="86"/>
        <item x="21"/>
        <item x="51"/>
        <item x="31"/>
        <item x="203"/>
        <item x="76"/>
        <item x="149"/>
        <item x="140"/>
        <item x="13"/>
        <item x="116"/>
        <item x="34"/>
        <item x="78"/>
        <item x="41"/>
        <item x="1"/>
        <item x="175"/>
        <item x="11"/>
        <item x="185"/>
        <item x="89"/>
        <item x="197"/>
        <item x="12"/>
        <item x="202"/>
        <item x="23"/>
        <item x="161"/>
        <item x="33"/>
        <item x="0"/>
        <item x="16"/>
        <item x="5"/>
        <item x="125"/>
        <item x="14"/>
        <item x="56"/>
        <item x="164"/>
        <item x="59"/>
        <item x="113"/>
        <item x="9"/>
        <item x="196"/>
        <item x="27"/>
        <item x="198"/>
        <item x="121"/>
        <item x="68"/>
        <item x="211"/>
        <item x="111"/>
        <item x="61"/>
        <item x="52"/>
        <item x="46"/>
        <item x="49"/>
        <item x="143"/>
        <item x="58"/>
        <item x="170"/>
        <item x="212"/>
        <item x="146"/>
        <item x="102"/>
        <item x="94"/>
        <item x="53"/>
        <item x="187"/>
        <item x="70"/>
        <item x="144"/>
        <item x="60"/>
        <item x="180"/>
        <item x="177"/>
        <item x="43"/>
        <item x="176"/>
        <item x="174"/>
        <item x="105"/>
        <item x="139"/>
        <item x="205"/>
        <item x="91"/>
        <item x="25"/>
        <item x="90"/>
        <item x="7"/>
        <item x="181"/>
        <item x="142"/>
        <item x="87"/>
        <item x="54"/>
        <item x="153"/>
        <item x="204"/>
        <item x="199"/>
        <item x="160"/>
        <item x="120"/>
        <item x="115"/>
        <item x="93"/>
        <item x="201"/>
        <item x="67"/>
        <item x="209"/>
        <item x="145"/>
        <item x="42"/>
        <item x="19"/>
        <item x="171"/>
        <item x="99"/>
        <item x="169"/>
        <item x="36"/>
        <item x="191"/>
        <item x="108"/>
        <item x="179"/>
        <item x="37"/>
        <item x="103"/>
        <item x="165"/>
        <item x="135"/>
        <item x="82"/>
        <item x="15"/>
        <item x="133"/>
        <item x="193"/>
        <item x="122"/>
        <item x="30"/>
        <item x="71"/>
        <item x="178"/>
        <item x="40"/>
        <item x="39"/>
        <item x="96"/>
        <item x="128"/>
        <item x="213"/>
        <item x="24"/>
        <item x="172"/>
        <item x="163"/>
        <item x="77"/>
        <item x="123"/>
        <item x="190"/>
        <item x="22"/>
        <item x="69"/>
        <item x="130"/>
        <item x="127"/>
        <item x="38"/>
        <item x="158"/>
        <item x="97"/>
        <item x="194"/>
        <item x="74"/>
        <item x="3"/>
        <item x="64"/>
        <item x="206"/>
        <item x="129"/>
        <item x="57"/>
        <item x="6"/>
        <item x="44"/>
        <item x="154"/>
        <item x="155"/>
        <item x="132"/>
        <item x="95"/>
        <item x="148"/>
        <item x="208"/>
        <item x="65"/>
        <item x="200"/>
        <item x="114"/>
        <item x="2"/>
        <item x="8"/>
        <item x="109"/>
        <item x="112"/>
        <item x="119"/>
        <item x="98"/>
        <item x="47"/>
        <item x="79"/>
        <item x="207"/>
        <item x="118"/>
        <item x="162"/>
        <item x="48"/>
        <item x="136"/>
        <item x="126"/>
        <item x="28"/>
        <item x="18"/>
        <item x="4"/>
        <item x="66"/>
        <item x="138"/>
        <item x="168"/>
        <item x="183"/>
        <item x="167"/>
        <item x="80"/>
        <item x="189"/>
        <item x="92"/>
        <item x="72"/>
        <item x="124"/>
        <item x="106"/>
        <item x="32"/>
        <item x="152"/>
        <item x="85"/>
        <item x="63"/>
        <item x="50"/>
        <item x="173"/>
        <item x="117"/>
        <item x="157"/>
        <item x="29"/>
        <item x="131"/>
        <item x="141"/>
        <item x="45"/>
        <item x="150"/>
        <item x="26"/>
        <item x="147"/>
        <item x="75"/>
        <item x="10"/>
        <item x="182"/>
        <item x="156"/>
        <item x="35"/>
        <item x="107"/>
        <item x="210"/>
        <item x="100"/>
        <item x="62"/>
        <item x="81"/>
        <item x="55"/>
        <item x="151"/>
        <item x="188"/>
        <item x="110"/>
        <item x="195"/>
        <item x="84"/>
        <item x="137"/>
        <item t="default"/>
      </items>
    </pivotField>
    <pivotField showAll="0"/>
    <pivotField showAll="0"/>
    <pivotField showAll="0"/>
    <pivotField showAll="0">
      <items count="11">
        <item x="8"/>
        <item x="4"/>
        <item x="6"/>
        <item x="7"/>
        <item x="5"/>
        <item x="9"/>
        <item x="1"/>
        <item x="3"/>
        <item x="2"/>
        <item x="0"/>
        <item t="default"/>
      </items>
    </pivotField>
    <pivotField showAll="0"/>
    <pivotField showAll="0">
      <items count="6">
        <item x="2"/>
        <item x="3"/>
        <item x="4"/>
        <item x="1"/>
        <item x="0"/>
        <item t="default"/>
      </items>
    </pivotField>
    <pivotField dataField="1" showAll="0"/>
    <pivotField dataField="1" numFmtId="165" showAll="0"/>
    <pivotField showAll="0">
      <items count="5">
        <item x="0"/>
        <item x="3"/>
        <item x="1"/>
        <item x="2"/>
        <item t="default"/>
      </items>
    </pivotField>
    <pivotField showAll="0">
      <items count="3">
        <item x="0"/>
        <item x="1"/>
        <item t="default"/>
      </items>
    </pivotField>
    <pivotField numFmtId="164" showAll="0"/>
    <pivotField showAll="0">
      <items count="7">
        <item x="3"/>
        <item x="0"/>
        <item x="1"/>
        <item x="2"/>
        <item x="4"/>
        <item x="5"/>
        <item t="default"/>
      </items>
    </pivotField>
    <pivotField showAll="0"/>
    <pivotField showAll="0">
      <items count="15">
        <item h="1" x="0"/>
        <item x="1"/>
        <item x="2"/>
        <item x="3"/>
        <item x="4"/>
        <item x="5"/>
        <item x="6"/>
        <item x="7"/>
        <item x="8"/>
        <item h="1" x="9"/>
        <item h="1" x="10"/>
        <item h="1" x="11"/>
        <item h="1" x="12"/>
        <item h="1" x="13"/>
        <item t="default"/>
      </items>
    </pivotField>
    <pivotField showAll="0">
      <items count="5">
        <item x="1"/>
        <item x="2"/>
        <item x="0"/>
        <item x="3"/>
        <item t="default"/>
      </items>
    </pivotField>
  </pivotFields>
  <rowItems count="1">
    <i/>
  </rowItems>
  <colFields count="1">
    <field x="-2"/>
  </colFields>
  <colItems count="4">
    <i>
      <x/>
    </i>
    <i i="1">
      <x v="1"/>
    </i>
    <i i="2">
      <x v="2"/>
    </i>
    <i i="3">
      <x v="3"/>
    </i>
  </colItems>
  <dataFields count="4">
    <dataField name="Count of Booking ID" fld="0" subtotal="count" baseField="0" baseItem="0"/>
    <dataField name="Sum of Revenue" fld="9" baseField="0" baseItem="0" numFmtId="165"/>
    <dataField name="Sum of Travelers" fld="8" baseField="0" baseItem="0"/>
    <dataField name="Average of Booking Amount" fld="9" subtotal="average" baseField="0" baseItem="0" numFmtId="165"/>
  </dataField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PT_Booking_Status" cacheId="1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
  <location ref="G3:H6" firstHeaderRow="1" firstDataRow="1" firstDataCol="1"/>
  <pivotFields count="17">
    <pivotField dataField="1" showAll="0"/>
    <pivotField numFmtId="164" showAll="0">
      <items count="215">
        <item x="88"/>
        <item x="159"/>
        <item x="104"/>
        <item x="83"/>
        <item x="73"/>
        <item x="20"/>
        <item x="101"/>
        <item x="184"/>
        <item x="17"/>
        <item x="166"/>
        <item x="186"/>
        <item x="192"/>
        <item x="134"/>
        <item x="86"/>
        <item x="21"/>
        <item x="51"/>
        <item x="31"/>
        <item x="203"/>
        <item x="76"/>
        <item x="149"/>
        <item x="140"/>
        <item x="13"/>
        <item x="116"/>
        <item x="34"/>
        <item x="78"/>
        <item x="41"/>
        <item x="1"/>
        <item x="175"/>
        <item x="11"/>
        <item x="185"/>
        <item x="89"/>
        <item x="197"/>
        <item x="12"/>
        <item x="202"/>
        <item x="23"/>
        <item x="161"/>
        <item x="33"/>
        <item x="0"/>
        <item x="16"/>
        <item x="5"/>
        <item x="125"/>
        <item x="14"/>
        <item x="56"/>
        <item x="164"/>
        <item x="59"/>
        <item x="113"/>
        <item x="9"/>
        <item x="196"/>
        <item x="27"/>
        <item x="198"/>
        <item x="121"/>
        <item x="68"/>
        <item x="211"/>
        <item x="111"/>
        <item x="61"/>
        <item x="52"/>
        <item x="46"/>
        <item x="49"/>
        <item x="143"/>
        <item x="58"/>
        <item x="170"/>
        <item x="212"/>
        <item x="146"/>
        <item x="102"/>
        <item x="94"/>
        <item x="53"/>
        <item x="187"/>
        <item x="70"/>
        <item x="144"/>
        <item x="60"/>
        <item x="180"/>
        <item x="177"/>
        <item x="43"/>
        <item x="176"/>
        <item x="174"/>
        <item x="105"/>
        <item x="139"/>
        <item x="205"/>
        <item x="91"/>
        <item x="25"/>
        <item x="90"/>
        <item x="7"/>
        <item x="181"/>
        <item x="142"/>
        <item x="87"/>
        <item x="54"/>
        <item x="153"/>
        <item x="204"/>
        <item x="199"/>
        <item x="160"/>
        <item x="120"/>
        <item x="115"/>
        <item x="93"/>
        <item x="201"/>
        <item x="67"/>
        <item x="209"/>
        <item x="145"/>
        <item x="42"/>
        <item x="19"/>
        <item x="171"/>
        <item x="99"/>
        <item x="169"/>
        <item x="36"/>
        <item x="191"/>
        <item x="108"/>
        <item x="179"/>
        <item x="37"/>
        <item x="103"/>
        <item x="165"/>
        <item x="135"/>
        <item x="82"/>
        <item x="15"/>
        <item x="133"/>
        <item x="193"/>
        <item x="122"/>
        <item x="30"/>
        <item x="71"/>
        <item x="178"/>
        <item x="40"/>
        <item x="39"/>
        <item x="96"/>
        <item x="128"/>
        <item x="213"/>
        <item x="24"/>
        <item x="172"/>
        <item x="163"/>
        <item x="77"/>
        <item x="123"/>
        <item x="190"/>
        <item x="22"/>
        <item x="69"/>
        <item x="130"/>
        <item x="127"/>
        <item x="38"/>
        <item x="158"/>
        <item x="97"/>
        <item x="194"/>
        <item x="74"/>
        <item x="3"/>
        <item x="64"/>
        <item x="206"/>
        <item x="129"/>
        <item x="57"/>
        <item x="6"/>
        <item x="44"/>
        <item x="154"/>
        <item x="155"/>
        <item x="132"/>
        <item x="95"/>
        <item x="148"/>
        <item x="208"/>
        <item x="65"/>
        <item x="200"/>
        <item x="114"/>
        <item x="2"/>
        <item x="8"/>
        <item x="109"/>
        <item x="112"/>
        <item x="119"/>
        <item x="98"/>
        <item x="47"/>
        <item x="79"/>
        <item x="207"/>
        <item x="118"/>
        <item x="162"/>
        <item x="48"/>
        <item x="136"/>
        <item x="126"/>
        <item x="28"/>
        <item x="18"/>
        <item x="4"/>
        <item x="66"/>
        <item x="138"/>
        <item x="168"/>
        <item x="183"/>
        <item x="167"/>
        <item x="80"/>
        <item x="189"/>
        <item x="92"/>
        <item x="72"/>
        <item x="124"/>
        <item x="106"/>
        <item x="32"/>
        <item x="152"/>
        <item x="85"/>
        <item x="63"/>
        <item x="50"/>
        <item x="173"/>
        <item x="117"/>
        <item x="157"/>
        <item x="29"/>
        <item x="131"/>
        <item x="141"/>
        <item x="45"/>
        <item x="150"/>
        <item x="26"/>
        <item x="147"/>
        <item x="75"/>
        <item x="10"/>
        <item x="182"/>
        <item x="156"/>
        <item x="35"/>
        <item x="107"/>
        <item x="210"/>
        <item x="100"/>
        <item x="62"/>
        <item x="81"/>
        <item x="55"/>
        <item x="151"/>
        <item x="188"/>
        <item x="110"/>
        <item x="195"/>
        <item x="84"/>
        <item x="137"/>
        <item t="default"/>
      </items>
    </pivotField>
    <pivotField showAll="0"/>
    <pivotField showAll="0"/>
    <pivotField showAll="0"/>
    <pivotField showAll="0">
      <items count="11">
        <item x="8"/>
        <item x="4"/>
        <item x="6"/>
        <item x="7"/>
        <item x="5"/>
        <item x="9"/>
        <item x="1"/>
        <item x="3"/>
        <item x="2"/>
        <item x="0"/>
        <item t="default"/>
      </items>
    </pivotField>
    <pivotField showAll="0"/>
    <pivotField showAll="0">
      <items count="6">
        <item x="2"/>
        <item x="3"/>
        <item x="4"/>
        <item x="1"/>
        <item x="0"/>
        <item t="default"/>
      </items>
    </pivotField>
    <pivotField showAll="0"/>
    <pivotField numFmtId="165" showAll="0"/>
    <pivotField showAll="0">
      <items count="5">
        <item x="0"/>
        <item x="3"/>
        <item x="1"/>
        <item x="2"/>
        <item t="default"/>
      </items>
    </pivotField>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numFmtId="164" showAll="0"/>
    <pivotField showAll="0">
      <items count="7">
        <item x="3"/>
        <item x="0"/>
        <item x="1"/>
        <item x="2"/>
        <item x="4"/>
        <item x="5"/>
        <item t="default"/>
      </items>
    </pivotField>
    <pivotField showAll="0"/>
    <pivotField showAll="0">
      <items count="15">
        <item h="1" x="0"/>
        <item x="1"/>
        <item x="2"/>
        <item x="3"/>
        <item x="4"/>
        <item x="5"/>
        <item x="6"/>
        <item x="7"/>
        <item x="8"/>
        <item h="1" x="9"/>
        <item h="1" x="10"/>
        <item h="1" x="11"/>
        <item h="1" x="12"/>
        <item h="1" x="13"/>
        <item t="default"/>
      </items>
    </pivotField>
    <pivotField showAll="0">
      <items count="5">
        <item x="1"/>
        <item x="2"/>
        <item x="0"/>
        <item x="3"/>
        <item t="default"/>
      </items>
    </pivotField>
  </pivotFields>
  <rowFields count="1">
    <field x="11"/>
  </rowFields>
  <rowItems count="3">
    <i>
      <x v="1"/>
    </i>
    <i>
      <x/>
    </i>
    <i t="grand">
      <x/>
    </i>
  </rowItems>
  <colItems count="1">
    <i/>
  </colItems>
  <dataFields count="1">
    <dataField name="Count of Booking ID" fld="0" subtotal="count" baseField="0" baseItem="0"/>
  </dataFields>
  <chartFormats count="1">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PT_Monthly" cacheId="1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
  <location ref="J3:L13" firstHeaderRow="1" firstDataRow="2" firstDataCol="1"/>
  <pivotFields count="17">
    <pivotField dataField="1" showAll="0"/>
    <pivotField numFmtId="164" showAll="0">
      <items count="215">
        <item x="88"/>
        <item x="159"/>
        <item x="104"/>
        <item x="83"/>
        <item x="73"/>
        <item x="20"/>
        <item x="101"/>
        <item x="184"/>
        <item x="17"/>
        <item x="166"/>
        <item x="186"/>
        <item x="192"/>
        <item x="134"/>
        <item x="86"/>
        <item x="21"/>
        <item x="51"/>
        <item x="31"/>
        <item x="203"/>
        <item x="76"/>
        <item x="149"/>
        <item x="140"/>
        <item x="13"/>
        <item x="116"/>
        <item x="34"/>
        <item x="78"/>
        <item x="41"/>
        <item x="1"/>
        <item x="175"/>
        <item x="11"/>
        <item x="185"/>
        <item x="89"/>
        <item x="197"/>
        <item x="12"/>
        <item x="202"/>
        <item x="23"/>
        <item x="161"/>
        <item x="33"/>
        <item x="0"/>
        <item x="16"/>
        <item x="5"/>
        <item x="125"/>
        <item x="14"/>
        <item x="56"/>
        <item x="164"/>
        <item x="59"/>
        <item x="113"/>
        <item x="9"/>
        <item x="196"/>
        <item x="27"/>
        <item x="198"/>
        <item x="121"/>
        <item x="68"/>
        <item x="211"/>
        <item x="111"/>
        <item x="61"/>
        <item x="52"/>
        <item x="46"/>
        <item x="49"/>
        <item x="143"/>
        <item x="58"/>
        <item x="170"/>
        <item x="212"/>
        <item x="146"/>
        <item x="102"/>
        <item x="94"/>
        <item x="53"/>
        <item x="187"/>
        <item x="70"/>
        <item x="144"/>
        <item x="60"/>
        <item x="180"/>
        <item x="177"/>
        <item x="43"/>
        <item x="176"/>
        <item x="174"/>
        <item x="105"/>
        <item x="139"/>
        <item x="205"/>
        <item x="91"/>
        <item x="25"/>
        <item x="90"/>
        <item x="7"/>
        <item x="181"/>
        <item x="142"/>
        <item x="87"/>
        <item x="54"/>
        <item x="153"/>
        <item x="204"/>
        <item x="199"/>
        <item x="160"/>
        <item x="120"/>
        <item x="115"/>
        <item x="93"/>
        <item x="201"/>
        <item x="67"/>
        <item x="209"/>
        <item x="145"/>
        <item x="42"/>
        <item x="19"/>
        <item x="171"/>
        <item x="99"/>
        <item x="169"/>
        <item x="36"/>
        <item x="191"/>
        <item x="108"/>
        <item x="179"/>
        <item x="37"/>
        <item x="103"/>
        <item x="165"/>
        <item x="135"/>
        <item x="82"/>
        <item x="15"/>
        <item x="133"/>
        <item x="193"/>
        <item x="122"/>
        <item x="30"/>
        <item x="71"/>
        <item x="178"/>
        <item x="40"/>
        <item x="39"/>
        <item x="96"/>
        <item x="128"/>
        <item x="213"/>
        <item x="24"/>
        <item x="172"/>
        <item x="163"/>
        <item x="77"/>
        <item x="123"/>
        <item x="190"/>
        <item x="22"/>
        <item x="69"/>
        <item x="130"/>
        <item x="127"/>
        <item x="38"/>
        <item x="158"/>
        <item x="97"/>
        <item x="194"/>
        <item x="74"/>
        <item x="3"/>
        <item x="64"/>
        <item x="206"/>
        <item x="129"/>
        <item x="57"/>
        <item x="6"/>
        <item x="44"/>
        <item x="154"/>
        <item x="155"/>
        <item x="132"/>
        <item x="95"/>
        <item x="148"/>
        <item x="208"/>
        <item x="65"/>
        <item x="200"/>
        <item x="114"/>
        <item x="2"/>
        <item x="8"/>
        <item x="109"/>
        <item x="112"/>
        <item x="119"/>
        <item x="98"/>
        <item x="47"/>
        <item x="79"/>
        <item x="207"/>
        <item x="118"/>
        <item x="162"/>
        <item x="48"/>
        <item x="136"/>
        <item x="126"/>
        <item x="28"/>
        <item x="18"/>
        <item x="4"/>
        <item x="66"/>
        <item x="138"/>
        <item x="168"/>
        <item x="183"/>
        <item x="167"/>
        <item x="80"/>
        <item x="189"/>
        <item x="92"/>
        <item x="72"/>
        <item x="124"/>
        <item x="106"/>
        <item x="32"/>
        <item x="152"/>
        <item x="85"/>
        <item x="63"/>
        <item x="50"/>
        <item x="173"/>
        <item x="117"/>
        <item x="157"/>
        <item x="29"/>
        <item x="131"/>
        <item x="141"/>
        <item x="45"/>
        <item x="150"/>
        <item x="26"/>
        <item x="147"/>
        <item x="75"/>
        <item x="10"/>
        <item x="182"/>
        <item x="156"/>
        <item x="35"/>
        <item x="107"/>
        <item x="210"/>
        <item x="100"/>
        <item x="62"/>
        <item x="81"/>
        <item x="55"/>
        <item x="151"/>
        <item x="188"/>
        <item x="110"/>
        <item x="195"/>
        <item x="84"/>
        <item x="137"/>
        <item t="default"/>
      </items>
    </pivotField>
    <pivotField showAll="0"/>
    <pivotField showAll="0"/>
    <pivotField showAll="0"/>
    <pivotField showAll="0">
      <items count="11">
        <item x="8"/>
        <item x="4"/>
        <item x="6"/>
        <item x="7"/>
        <item x="5"/>
        <item x="9"/>
        <item x="1"/>
        <item x="3"/>
        <item x="2"/>
        <item x="0"/>
        <item t="default"/>
      </items>
    </pivotField>
    <pivotField showAll="0"/>
    <pivotField showAll="0">
      <items count="6">
        <item x="2"/>
        <item x="3"/>
        <item x="4"/>
        <item x="1"/>
        <item x="0"/>
        <item t="default"/>
      </items>
    </pivotField>
    <pivotField showAll="0"/>
    <pivotField dataField="1" numFmtId="165" showAll="0"/>
    <pivotField showAll="0">
      <items count="5">
        <item x="0"/>
        <item x="3"/>
        <item x="1"/>
        <item x="2"/>
        <item t="default"/>
      </items>
    </pivotField>
    <pivotField showAll="0">
      <items count="3">
        <item x="0"/>
        <item x="1"/>
        <item t="default"/>
      </items>
    </pivotField>
    <pivotField numFmtId="164" showAll="0"/>
    <pivotField showAll="0">
      <items count="7">
        <item x="3"/>
        <item x="0"/>
        <item x="1"/>
        <item x="2"/>
        <item x="4"/>
        <item x="5"/>
        <item t="default"/>
      </items>
    </pivotField>
    <pivotField showAll="0"/>
    <pivotField axis="axisRow" showAll="0">
      <items count="15">
        <item h="1" x="0"/>
        <item x="1"/>
        <item x="2"/>
        <item x="3"/>
        <item x="4"/>
        <item x="5"/>
        <item x="6"/>
        <item x="7"/>
        <item x="8"/>
        <item h="1" x="9"/>
        <item h="1" x="10"/>
        <item h="1" x="11"/>
        <item h="1" x="12"/>
        <item h="1" x="13"/>
        <item t="default"/>
      </items>
    </pivotField>
    <pivotField showAll="0">
      <items count="5">
        <item x="1"/>
        <item x="2"/>
        <item x="0"/>
        <item x="3"/>
        <item t="default"/>
      </items>
    </pivotField>
  </pivotFields>
  <rowFields count="1">
    <field x="15"/>
  </rowFields>
  <rowItems count="9">
    <i>
      <x v="1"/>
    </i>
    <i>
      <x v="2"/>
    </i>
    <i>
      <x v="3"/>
    </i>
    <i>
      <x v="4"/>
    </i>
    <i>
      <x v="5"/>
    </i>
    <i>
      <x v="6"/>
    </i>
    <i>
      <x v="7"/>
    </i>
    <i>
      <x v="8"/>
    </i>
    <i t="grand">
      <x/>
    </i>
  </rowItems>
  <colFields count="1">
    <field x="-2"/>
  </colFields>
  <colItems count="2">
    <i>
      <x/>
    </i>
    <i i="1">
      <x v="1"/>
    </i>
  </colItems>
  <dataFields count="2">
    <dataField name="Sum of Revenue" fld="9" baseField="0" baseItem="0" numFmtId="165"/>
    <dataField name="Count of Booking ID" fld="0" subtotal="count" baseField="0"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PT_Payment_Method" cacheId="1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
  <location ref="N3:O8" firstHeaderRow="1" firstDataRow="1" firstDataCol="1"/>
  <pivotFields count="17">
    <pivotField dataField="1" showAll="0"/>
    <pivotField numFmtId="164" showAll="0">
      <items count="215">
        <item x="88"/>
        <item x="159"/>
        <item x="104"/>
        <item x="83"/>
        <item x="73"/>
        <item x="20"/>
        <item x="101"/>
        <item x="184"/>
        <item x="17"/>
        <item x="166"/>
        <item x="186"/>
        <item x="192"/>
        <item x="134"/>
        <item x="86"/>
        <item x="21"/>
        <item x="51"/>
        <item x="31"/>
        <item x="203"/>
        <item x="76"/>
        <item x="149"/>
        <item x="140"/>
        <item x="13"/>
        <item x="116"/>
        <item x="34"/>
        <item x="78"/>
        <item x="41"/>
        <item x="1"/>
        <item x="175"/>
        <item x="11"/>
        <item x="185"/>
        <item x="89"/>
        <item x="197"/>
        <item x="12"/>
        <item x="202"/>
        <item x="23"/>
        <item x="161"/>
        <item x="33"/>
        <item x="0"/>
        <item x="16"/>
        <item x="5"/>
        <item x="125"/>
        <item x="14"/>
        <item x="56"/>
        <item x="164"/>
        <item x="59"/>
        <item x="113"/>
        <item x="9"/>
        <item x="196"/>
        <item x="27"/>
        <item x="198"/>
        <item x="121"/>
        <item x="68"/>
        <item x="211"/>
        <item x="111"/>
        <item x="61"/>
        <item x="52"/>
        <item x="46"/>
        <item x="49"/>
        <item x="143"/>
        <item x="58"/>
        <item x="170"/>
        <item x="212"/>
        <item x="146"/>
        <item x="102"/>
        <item x="94"/>
        <item x="53"/>
        <item x="187"/>
        <item x="70"/>
        <item x="144"/>
        <item x="60"/>
        <item x="180"/>
        <item x="177"/>
        <item x="43"/>
        <item x="176"/>
        <item x="174"/>
        <item x="105"/>
        <item x="139"/>
        <item x="205"/>
        <item x="91"/>
        <item x="25"/>
        <item x="90"/>
        <item x="7"/>
        <item x="181"/>
        <item x="142"/>
        <item x="87"/>
        <item x="54"/>
        <item x="153"/>
        <item x="204"/>
        <item x="199"/>
        <item x="160"/>
        <item x="120"/>
        <item x="115"/>
        <item x="93"/>
        <item x="201"/>
        <item x="67"/>
        <item x="209"/>
        <item x="145"/>
        <item x="42"/>
        <item x="19"/>
        <item x="171"/>
        <item x="99"/>
        <item x="169"/>
        <item x="36"/>
        <item x="191"/>
        <item x="108"/>
        <item x="179"/>
        <item x="37"/>
        <item x="103"/>
        <item x="165"/>
        <item x="135"/>
        <item x="82"/>
        <item x="15"/>
        <item x="133"/>
        <item x="193"/>
        <item x="122"/>
        <item x="30"/>
        <item x="71"/>
        <item x="178"/>
        <item x="40"/>
        <item x="39"/>
        <item x="96"/>
        <item x="128"/>
        <item x="213"/>
        <item x="24"/>
        <item x="172"/>
        <item x="163"/>
        <item x="77"/>
        <item x="123"/>
        <item x="190"/>
        <item x="22"/>
        <item x="69"/>
        <item x="130"/>
        <item x="127"/>
        <item x="38"/>
        <item x="158"/>
        <item x="97"/>
        <item x="194"/>
        <item x="74"/>
        <item x="3"/>
        <item x="64"/>
        <item x="206"/>
        <item x="129"/>
        <item x="57"/>
        <item x="6"/>
        <item x="44"/>
        <item x="154"/>
        <item x="155"/>
        <item x="132"/>
        <item x="95"/>
        <item x="148"/>
        <item x="208"/>
        <item x="65"/>
        <item x="200"/>
        <item x="114"/>
        <item x="2"/>
        <item x="8"/>
        <item x="109"/>
        <item x="112"/>
        <item x="119"/>
        <item x="98"/>
        <item x="47"/>
        <item x="79"/>
        <item x="207"/>
        <item x="118"/>
        <item x="162"/>
        <item x="48"/>
        <item x="136"/>
        <item x="126"/>
        <item x="28"/>
        <item x="18"/>
        <item x="4"/>
        <item x="66"/>
        <item x="138"/>
        <item x="168"/>
        <item x="183"/>
        <item x="167"/>
        <item x="80"/>
        <item x="189"/>
        <item x="92"/>
        <item x="72"/>
        <item x="124"/>
        <item x="106"/>
        <item x="32"/>
        <item x="152"/>
        <item x="85"/>
        <item x="63"/>
        <item x="50"/>
        <item x="173"/>
        <item x="117"/>
        <item x="157"/>
        <item x="29"/>
        <item x="131"/>
        <item x="141"/>
        <item x="45"/>
        <item x="150"/>
        <item x="26"/>
        <item x="147"/>
        <item x="75"/>
        <item x="10"/>
        <item x="182"/>
        <item x="156"/>
        <item x="35"/>
        <item x="107"/>
        <item x="210"/>
        <item x="100"/>
        <item x="62"/>
        <item x="81"/>
        <item x="55"/>
        <item x="151"/>
        <item x="188"/>
        <item x="110"/>
        <item x="195"/>
        <item x="84"/>
        <item x="137"/>
        <item t="default"/>
      </items>
    </pivotField>
    <pivotField showAll="0"/>
    <pivotField showAll="0"/>
    <pivotField showAll="0"/>
    <pivotField showAll="0">
      <items count="11">
        <item x="8"/>
        <item x="4"/>
        <item x="6"/>
        <item x="7"/>
        <item x="5"/>
        <item x="9"/>
        <item x="1"/>
        <item x="3"/>
        <item x="2"/>
        <item x="0"/>
        <item t="default"/>
      </items>
    </pivotField>
    <pivotField showAll="0"/>
    <pivotField showAll="0">
      <items count="6">
        <item x="2"/>
        <item x="3"/>
        <item x="4"/>
        <item x="1"/>
        <item x="0"/>
        <item t="default"/>
      </items>
    </pivotField>
    <pivotField showAll="0"/>
    <pivotField numFmtId="165"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numFmtId="164" showAll="0"/>
    <pivotField showAll="0">
      <items count="7">
        <item x="3"/>
        <item x="0"/>
        <item x="1"/>
        <item x="2"/>
        <item x="4"/>
        <item x="5"/>
        <item t="default"/>
      </items>
    </pivotField>
    <pivotField showAll="0"/>
    <pivotField showAll="0">
      <items count="15">
        <item h="1" x="0"/>
        <item x="1"/>
        <item x="2"/>
        <item x="3"/>
        <item x="4"/>
        <item x="5"/>
        <item x="6"/>
        <item x="7"/>
        <item x="8"/>
        <item h="1" x="9"/>
        <item h="1" x="10"/>
        <item h="1" x="11"/>
        <item h="1" x="12"/>
        <item h="1" x="13"/>
        <item t="default"/>
      </items>
    </pivotField>
    <pivotField showAll="0">
      <items count="5">
        <item x="1"/>
        <item x="2"/>
        <item x="0"/>
        <item x="3"/>
        <item t="default"/>
      </items>
    </pivotField>
  </pivotFields>
  <rowFields count="1">
    <field x="10"/>
  </rowFields>
  <rowItems count="5">
    <i>
      <x/>
    </i>
    <i>
      <x v="2"/>
    </i>
    <i>
      <x v="1"/>
    </i>
    <i>
      <x v="3"/>
    </i>
    <i t="grand">
      <x/>
    </i>
  </rowItems>
  <colItems count="1">
    <i/>
  </colItems>
  <dataFields count="1">
    <dataField name="Count of Booking ID" fld="0" subtotal="count" baseField="0" baseItem="0"/>
  </dataFields>
  <chartFormats count="5">
    <chartFormat chart="1" format="0">
      <pivotArea type="data" outline="0" fieldPosition="0">
        <references count="2">
          <reference field="4294967294" count="1" selected="0">
            <x v="0"/>
          </reference>
          <reference field="10" count="1" selected="0">
            <x v="0"/>
          </reference>
        </references>
      </pivotArea>
    </chartFormat>
    <chartFormat chart="1" format="1">
      <pivotArea type="data" outline="0" fieldPosition="0">
        <references count="2">
          <reference field="4294967294" count="1" selected="0">
            <x v="0"/>
          </reference>
          <reference field="10" count="1" selected="0">
            <x v="1"/>
          </reference>
        </references>
      </pivotArea>
    </chartFormat>
    <chartFormat chart="1" format="2">
      <pivotArea type="data" outline="0" fieldPosition="0">
        <references count="2">
          <reference field="4294967294" count="1" selected="0">
            <x v="0"/>
          </reference>
          <reference field="10" count="1" selected="0">
            <x v="2"/>
          </reference>
        </references>
      </pivotArea>
    </chartFormat>
    <chartFormat chart="1" format="3">
      <pivotArea type="data" outline="0" fieldPosition="0">
        <references count="2">
          <reference field="4294967294" count="1" selected="0">
            <x v="0"/>
          </reference>
          <reference field="10" count="1" selected="0">
            <x v="3"/>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6.xml><?xml version="1.0" encoding="utf-8"?>
<pivotTableDefinition xmlns="http://schemas.openxmlformats.org/spreadsheetml/2006/main" name="PT_Salesperson" cacheId="1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
  <location ref="Q3:R10" firstHeaderRow="1" firstDataRow="1" firstDataCol="1"/>
  <pivotFields count="17">
    <pivotField showAll="0"/>
    <pivotField numFmtId="164" showAll="0">
      <items count="215">
        <item x="88"/>
        <item x="159"/>
        <item x="104"/>
        <item x="83"/>
        <item x="73"/>
        <item x="20"/>
        <item x="101"/>
        <item x="184"/>
        <item x="17"/>
        <item x="166"/>
        <item x="186"/>
        <item x="192"/>
        <item x="134"/>
        <item x="86"/>
        <item x="21"/>
        <item x="51"/>
        <item x="31"/>
        <item x="203"/>
        <item x="76"/>
        <item x="149"/>
        <item x="140"/>
        <item x="13"/>
        <item x="116"/>
        <item x="34"/>
        <item x="78"/>
        <item x="41"/>
        <item x="1"/>
        <item x="175"/>
        <item x="11"/>
        <item x="185"/>
        <item x="89"/>
        <item x="197"/>
        <item x="12"/>
        <item x="202"/>
        <item x="23"/>
        <item x="161"/>
        <item x="33"/>
        <item x="0"/>
        <item x="16"/>
        <item x="5"/>
        <item x="125"/>
        <item x="14"/>
        <item x="56"/>
        <item x="164"/>
        <item x="59"/>
        <item x="113"/>
        <item x="9"/>
        <item x="196"/>
        <item x="27"/>
        <item x="198"/>
        <item x="121"/>
        <item x="68"/>
        <item x="211"/>
        <item x="111"/>
        <item x="61"/>
        <item x="52"/>
        <item x="46"/>
        <item x="49"/>
        <item x="143"/>
        <item x="58"/>
        <item x="170"/>
        <item x="212"/>
        <item x="146"/>
        <item x="102"/>
        <item x="94"/>
        <item x="53"/>
        <item x="187"/>
        <item x="70"/>
        <item x="144"/>
        <item x="60"/>
        <item x="180"/>
        <item x="177"/>
        <item x="43"/>
        <item x="176"/>
        <item x="174"/>
        <item x="105"/>
        <item x="139"/>
        <item x="205"/>
        <item x="91"/>
        <item x="25"/>
        <item x="90"/>
        <item x="7"/>
        <item x="181"/>
        <item x="142"/>
        <item x="87"/>
        <item x="54"/>
        <item x="153"/>
        <item x="204"/>
        <item x="199"/>
        <item x="160"/>
        <item x="120"/>
        <item x="115"/>
        <item x="93"/>
        <item x="201"/>
        <item x="67"/>
        <item x="209"/>
        <item x="145"/>
        <item x="42"/>
        <item x="19"/>
        <item x="171"/>
        <item x="99"/>
        <item x="169"/>
        <item x="36"/>
        <item x="191"/>
        <item x="108"/>
        <item x="179"/>
        <item x="37"/>
        <item x="103"/>
        <item x="165"/>
        <item x="135"/>
        <item x="82"/>
        <item x="15"/>
        <item x="133"/>
        <item x="193"/>
        <item x="122"/>
        <item x="30"/>
        <item x="71"/>
        <item x="178"/>
        <item x="40"/>
        <item x="39"/>
        <item x="96"/>
        <item x="128"/>
        <item x="213"/>
        <item x="24"/>
        <item x="172"/>
        <item x="163"/>
        <item x="77"/>
        <item x="123"/>
        <item x="190"/>
        <item x="22"/>
        <item x="69"/>
        <item x="130"/>
        <item x="127"/>
        <item x="38"/>
        <item x="158"/>
        <item x="97"/>
        <item x="194"/>
        <item x="74"/>
        <item x="3"/>
        <item x="64"/>
        <item x="206"/>
        <item x="129"/>
        <item x="57"/>
        <item x="6"/>
        <item x="44"/>
        <item x="154"/>
        <item x="155"/>
        <item x="132"/>
        <item x="95"/>
        <item x="148"/>
        <item x="208"/>
        <item x="65"/>
        <item x="200"/>
        <item x="114"/>
        <item x="2"/>
        <item x="8"/>
        <item x="109"/>
        <item x="112"/>
        <item x="119"/>
        <item x="98"/>
        <item x="47"/>
        <item x="79"/>
        <item x="207"/>
        <item x="118"/>
        <item x="162"/>
        <item x="48"/>
        <item x="136"/>
        <item x="126"/>
        <item x="28"/>
        <item x="18"/>
        <item x="4"/>
        <item x="66"/>
        <item x="138"/>
        <item x="168"/>
        <item x="183"/>
        <item x="167"/>
        <item x="80"/>
        <item x="189"/>
        <item x="92"/>
        <item x="72"/>
        <item x="124"/>
        <item x="106"/>
        <item x="32"/>
        <item x="152"/>
        <item x="85"/>
        <item x="63"/>
        <item x="50"/>
        <item x="173"/>
        <item x="117"/>
        <item x="157"/>
        <item x="29"/>
        <item x="131"/>
        <item x="141"/>
        <item x="45"/>
        <item x="150"/>
        <item x="26"/>
        <item x="147"/>
        <item x="75"/>
        <item x="10"/>
        <item x="182"/>
        <item x="156"/>
        <item x="35"/>
        <item x="107"/>
        <item x="210"/>
        <item x="100"/>
        <item x="62"/>
        <item x="81"/>
        <item x="55"/>
        <item x="151"/>
        <item x="188"/>
        <item x="110"/>
        <item x="195"/>
        <item x="84"/>
        <item x="137"/>
        <item t="default"/>
      </items>
    </pivotField>
    <pivotField showAll="0"/>
    <pivotField showAll="0"/>
    <pivotField showAll="0"/>
    <pivotField showAll="0">
      <items count="11">
        <item x="8"/>
        <item x="4"/>
        <item x="6"/>
        <item x="7"/>
        <item x="5"/>
        <item x="9"/>
        <item x="1"/>
        <item x="3"/>
        <item x="2"/>
        <item x="0"/>
        <item t="default"/>
      </items>
    </pivotField>
    <pivotField showAll="0"/>
    <pivotField showAll="0">
      <items count="6">
        <item x="2"/>
        <item x="3"/>
        <item x="4"/>
        <item x="1"/>
        <item x="0"/>
        <item t="default"/>
      </items>
    </pivotField>
    <pivotField showAll="0"/>
    <pivotField dataField="1" numFmtId="165" showAll="0"/>
    <pivotField showAll="0">
      <items count="5">
        <item x="0"/>
        <item x="3"/>
        <item x="1"/>
        <item x="2"/>
        <item t="default"/>
      </items>
    </pivotField>
    <pivotField showAll="0">
      <items count="3">
        <item x="0"/>
        <item x="1"/>
        <item t="default"/>
      </items>
    </pivotField>
    <pivotField numFmtId="164" showAll="0"/>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showAll="0">
      <items count="15">
        <item h="1" x="0"/>
        <item x="1"/>
        <item x="2"/>
        <item x="3"/>
        <item x="4"/>
        <item x="5"/>
        <item x="6"/>
        <item x="7"/>
        <item x="8"/>
        <item h="1" x="9"/>
        <item h="1" x="10"/>
        <item h="1" x="11"/>
        <item h="1" x="12"/>
        <item h="1" x="13"/>
        <item t="default"/>
      </items>
    </pivotField>
    <pivotField showAll="0">
      <items count="5">
        <item x="1"/>
        <item x="2"/>
        <item x="0"/>
        <item x="3"/>
        <item t="default"/>
      </items>
    </pivotField>
  </pivotFields>
  <rowFields count="1">
    <field x="13"/>
  </rowFields>
  <rowItems count="7">
    <i>
      <x v="1"/>
    </i>
    <i>
      <x/>
    </i>
    <i>
      <x v="3"/>
    </i>
    <i>
      <x v="5"/>
    </i>
    <i>
      <x v="2"/>
    </i>
    <i>
      <x v="4"/>
    </i>
    <i t="grand">
      <x/>
    </i>
  </rowItems>
  <colItems count="1">
    <i/>
  </colItems>
  <dataFields count="1">
    <dataField name="Sum of Revenue" fld="9" baseField="0" baseItem="0" numFmtId="165"/>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7.xml><?xml version="1.0" encoding="utf-8"?>
<pivotTableDefinition xmlns="http://schemas.openxmlformats.org/spreadsheetml/2006/main" name="PT_Revenue_Destination" cacheId="1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
  <location ref="A3:B14" firstHeaderRow="1" firstDataRow="1" firstDataCol="1"/>
  <pivotFields count="17">
    <pivotField showAll="0"/>
    <pivotField numFmtId="164" showAll="0">
      <items count="215">
        <item x="88"/>
        <item x="159"/>
        <item x="104"/>
        <item x="83"/>
        <item x="73"/>
        <item x="20"/>
        <item x="101"/>
        <item x="184"/>
        <item x="17"/>
        <item x="166"/>
        <item x="186"/>
        <item x="192"/>
        <item x="134"/>
        <item x="86"/>
        <item x="21"/>
        <item x="51"/>
        <item x="31"/>
        <item x="203"/>
        <item x="76"/>
        <item x="149"/>
        <item x="140"/>
        <item x="13"/>
        <item x="116"/>
        <item x="34"/>
        <item x="78"/>
        <item x="41"/>
        <item x="1"/>
        <item x="175"/>
        <item x="11"/>
        <item x="185"/>
        <item x="89"/>
        <item x="197"/>
        <item x="12"/>
        <item x="202"/>
        <item x="23"/>
        <item x="161"/>
        <item x="33"/>
        <item x="0"/>
        <item x="16"/>
        <item x="5"/>
        <item x="125"/>
        <item x="14"/>
        <item x="56"/>
        <item x="164"/>
        <item x="59"/>
        <item x="113"/>
        <item x="9"/>
        <item x="196"/>
        <item x="27"/>
        <item x="198"/>
        <item x="121"/>
        <item x="68"/>
        <item x="211"/>
        <item x="111"/>
        <item x="61"/>
        <item x="52"/>
        <item x="46"/>
        <item x="49"/>
        <item x="143"/>
        <item x="58"/>
        <item x="170"/>
        <item x="212"/>
        <item x="146"/>
        <item x="102"/>
        <item x="94"/>
        <item x="53"/>
        <item x="187"/>
        <item x="70"/>
        <item x="144"/>
        <item x="60"/>
        <item x="180"/>
        <item x="177"/>
        <item x="43"/>
        <item x="176"/>
        <item x="174"/>
        <item x="105"/>
        <item x="139"/>
        <item x="205"/>
        <item x="91"/>
        <item x="25"/>
        <item x="90"/>
        <item x="7"/>
        <item x="181"/>
        <item x="142"/>
        <item x="87"/>
        <item x="54"/>
        <item x="153"/>
        <item x="204"/>
        <item x="199"/>
        <item x="160"/>
        <item x="120"/>
        <item x="115"/>
        <item x="93"/>
        <item x="201"/>
        <item x="67"/>
        <item x="209"/>
        <item x="145"/>
        <item x="42"/>
        <item x="19"/>
        <item x="171"/>
        <item x="99"/>
        <item x="169"/>
        <item x="36"/>
        <item x="191"/>
        <item x="108"/>
        <item x="179"/>
        <item x="37"/>
        <item x="103"/>
        <item x="165"/>
        <item x="135"/>
        <item x="82"/>
        <item x="15"/>
        <item x="133"/>
        <item x="193"/>
        <item x="122"/>
        <item x="30"/>
        <item x="71"/>
        <item x="178"/>
        <item x="40"/>
        <item x="39"/>
        <item x="96"/>
        <item x="128"/>
        <item x="213"/>
        <item x="24"/>
        <item x="172"/>
        <item x="163"/>
        <item x="77"/>
        <item x="123"/>
        <item x="190"/>
        <item x="22"/>
        <item x="69"/>
        <item x="130"/>
        <item x="127"/>
        <item x="38"/>
        <item x="158"/>
        <item x="97"/>
        <item x="194"/>
        <item x="74"/>
        <item x="3"/>
        <item x="64"/>
        <item x="206"/>
        <item x="129"/>
        <item x="57"/>
        <item x="6"/>
        <item x="44"/>
        <item x="154"/>
        <item x="155"/>
        <item x="132"/>
        <item x="95"/>
        <item x="148"/>
        <item x="208"/>
        <item x="65"/>
        <item x="200"/>
        <item x="114"/>
        <item x="2"/>
        <item x="8"/>
        <item x="109"/>
        <item x="112"/>
        <item x="119"/>
        <item x="98"/>
        <item x="47"/>
        <item x="79"/>
        <item x="207"/>
        <item x="118"/>
        <item x="162"/>
        <item x="48"/>
        <item x="136"/>
        <item x="126"/>
        <item x="28"/>
        <item x="18"/>
        <item x="4"/>
        <item x="66"/>
        <item x="138"/>
        <item x="168"/>
        <item x="183"/>
        <item x="167"/>
        <item x="80"/>
        <item x="189"/>
        <item x="92"/>
        <item x="72"/>
        <item x="124"/>
        <item x="106"/>
        <item x="32"/>
        <item x="152"/>
        <item x="85"/>
        <item x="63"/>
        <item x="50"/>
        <item x="173"/>
        <item x="117"/>
        <item x="157"/>
        <item x="29"/>
        <item x="131"/>
        <item x="141"/>
        <item x="45"/>
        <item x="150"/>
        <item x="26"/>
        <item x="147"/>
        <item x="75"/>
        <item x="10"/>
        <item x="182"/>
        <item x="156"/>
        <item x="35"/>
        <item x="107"/>
        <item x="210"/>
        <item x="100"/>
        <item x="62"/>
        <item x="81"/>
        <item x="55"/>
        <item x="151"/>
        <item x="188"/>
        <item x="110"/>
        <item x="195"/>
        <item x="84"/>
        <item x="137"/>
        <item t="default"/>
      </items>
    </pivotField>
    <pivotField showAll="0"/>
    <pivotField showAll="0"/>
    <pivotField showAll="0"/>
    <pivotField axis="axisRow"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showAll="0"/>
    <pivotField showAll="0">
      <items count="6">
        <item x="2"/>
        <item x="3"/>
        <item x="4"/>
        <item x="1"/>
        <item x="0"/>
        <item t="default"/>
      </items>
    </pivotField>
    <pivotField showAll="0"/>
    <pivotField dataField="1" numFmtId="165" showAll="0"/>
    <pivotField showAll="0">
      <items count="5">
        <item x="0"/>
        <item x="3"/>
        <item x="1"/>
        <item x="2"/>
        <item t="default"/>
      </items>
    </pivotField>
    <pivotField showAll="0">
      <items count="3">
        <item x="0"/>
        <item x="1"/>
        <item t="default"/>
      </items>
    </pivotField>
    <pivotField numFmtId="164" showAll="0"/>
    <pivotField showAll="0">
      <items count="7">
        <item x="3"/>
        <item x="0"/>
        <item x="1"/>
        <item x="2"/>
        <item x="4"/>
        <item x="5"/>
        <item t="default"/>
      </items>
    </pivotField>
    <pivotField showAll="0"/>
    <pivotField showAll="0">
      <items count="15">
        <item h="1" x="0"/>
        <item x="1"/>
        <item x="2"/>
        <item x="3"/>
        <item x="4"/>
        <item x="5"/>
        <item x="6"/>
        <item x="7"/>
        <item x="8"/>
        <item h="1" x="9"/>
        <item h="1" x="10"/>
        <item h="1" x="11"/>
        <item h="1" x="12"/>
        <item h="1" x="13"/>
        <item t="default"/>
      </items>
    </pivotField>
    <pivotField showAll="0">
      <items count="5">
        <item x="1"/>
        <item x="2"/>
        <item x="0"/>
        <item x="3"/>
        <item t="default"/>
      </items>
    </pivotField>
  </pivotFields>
  <rowFields count="1">
    <field x="5"/>
  </rowFields>
  <rowItems count="11">
    <i>
      <x v="2"/>
    </i>
    <i>
      <x v="5"/>
    </i>
    <i>
      <x v="4"/>
    </i>
    <i>
      <x v="3"/>
    </i>
    <i>
      <x v="6"/>
    </i>
    <i>
      <x/>
    </i>
    <i>
      <x v="7"/>
    </i>
    <i>
      <x v="8"/>
    </i>
    <i>
      <x v="1"/>
    </i>
    <i>
      <x v="9"/>
    </i>
    <i t="grand">
      <x/>
    </i>
  </rowItems>
  <colItems count="1">
    <i/>
  </colItems>
  <dataFields count="1">
    <dataField name="Sum of Revenue" fld="9" baseField="0" baseItem="0" numFmtId="165"/>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8.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A3:B14" firstHeaderRow="1" firstDataRow="1" firstDataCol="1"/>
  <pivotFields count="17">
    <pivotField showAll="0"/>
    <pivotField numFmtId="164" showAll="0">
      <items count="215">
        <item x="88"/>
        <item x="159"/>
        <item x="104"/>
        <item x="83"/>
        <item x="73"/>
        <item x="20"/>
        <item x="101"/>
        <item x="184"/>
        <item x="17"/>
        <item x="166"/>
        <item x="186"/>
        <item x="192"/>
        <item x="134"/>
        <item x="86"/>
        <item x="21"/>
        <item x="51"/>
        <item x="31"/>
        <item x="203"/>
        <item x="76"/>
        <item x="149"/>
        <item x="140"/>
        <item x="13"/>
        <item x="116"/>
        <item x="34"/>
        <item x="78"/>
        <item x="41"/>
        <item x="1"/>
        <item x="175"/>
        <item x="11"/>
        <item x="185"/>
        <item x="89"/>
        <item x="197"/>
        <item x="12"/>
        <item x="202"/>
        <item x="23"/>
        <item x="161"/>
        <item x="33"/>
        <item x="0"/>
        <item x="16"/>
        <item x="5"/>
        <item x="125"/>
        <item x="14"/>
        <item x="56"/>
        <item x="164"/>
        <item x="59"/>
        <item x="113"/>
        <item x="9"/>
        <item x="196"/>
        <item x="27"/>
        <item x="198"/>
        <item x="121"/>
        <item x="68"/>
        <item x="211"/>
        <item x="111"/>
        <item x="61"/>
        <item x="52"/>
        <item x="46"/>
        <item x="49"/>
        <item x="143"/>
        <item x="58"/>
        <item x="170"/>
        <item x="212"/>
        <item x="146"/>
        <item x="102"/>
        <item x="94"/>
        <item x="53"/>
        <item x="187"/>
        <item x="70"/>
        <item x="144"/>
        <item x="60"/>
        <item x="180"/>
        <item x="177"/>
        <item x="43"/>
        <item x="176"/>
        <item x="174"/>
        <item x="105"/>
        <item x="139"/>
        <item x="205"/>
        <item x="91"/>
        <item x="25"/>
        <item x="90"/>
        <item x="7"/>
        <item x="181"/>
        <item x="142"/>
        <item x="87"/>
        <item x="54"/>
        <item x="153"/>
        <item x="204"/>
        <item x="199"/>
        <item x="160"/>
        <item x="120"/>
        <item x="115"/>
        <item x="93"/>
        <item x="201"/>
        <item x="67"/>
        <item x="209"/>
        <item x="145"/>
        <item x="42"/>
        <item x="19"/>
        <item x="171"/>
        <item x="99"/>
        <item x="169"/>
        <item x="36"/>
        <item x="191"/>
        <item x="108"/>
        <item x="179"/>
        <item x="37"/>
        <item x="103"/>
        <item x="165"/>
        <item x="135"/>
        <item x="82"/>
        <item x="15"/>
        <item x="133"/>
        <item x="193"/>
        <item x="122"/>
        <item x="30"/>
        <item x="71"/>
        <item x="178"/>
        <item x="40"/>
        <item x="39"/>
        <item x="96"/>
        <item x="128"/>
        <item x="213"/>
        <item x="24"/>
        <item x="172"/>
        <item x="163"/>
        <item x="77"/>
        <item x="123"/>
        <item x="190"/>
        <item x="22"/>
        <item x="69"/>
        <item x="130"/>
        <item x="127"/>
        <item x="38"/>
        <item x="158"/>
        <item x="97"/>
        <item x="194"/>
        <item x="74"/>
        <item x="3"/>
        <item x="64"/>
        <item x="206"/>
        <item x="129"/>
        <item x="57"/>
        <item x="6"/>
        <item x="44"/>
        <item x="154"/>
        <item x="155"/>
        <item x="132"/>
        <item x="95"/>
        <item x="148"/>
        <item x="208"/>
        <item x="65"/>
        <item x="200"/>
        <item x="114"/>
        <item x="2"/>
        <item x="8"/>
        <item x="109"/>
        <item x="112"/>
        <item x="119"/>
        <item x="98"/>
        <item x="47"/>
        <item x="79"/>
        <item x="207"/>
        <item x="118"/>
        <item x="162"/>
        <item x="48"/>
        <item x="136"/>
        <item x="126"/>
        <item x="28"/>
        <item x="18"/>
        <item x="4"/>
        <item x="66"/>
        <item x="138"/>
        <item x="168"/>
        <item x="183"/>
        <item x="167"/>
        <item x="80"/>
        <item x="189"/>
        <item x="92"/>
        <item x="72"/>
        <item x="124"/>
        <item x="106"/>
        <item x="32"/>
        <item x="152"/>
        <item x="85"/>
        <item x="63"/>
        <item x="50"/>
        <item x="173"/>
        <item x="117"/>
        <item x="157"/>
        <item x="29"/>
        <item x="131"/>
        <item x="141"/>
        <item x="45"/>
        <item x="150"/>
        <item x="26"/>
        <item x="147"/>
        <item x="75"/>
        <item x="10"/>
        <item x="182"/>
        <item x="156"/>
        <item x="35"/>
        <item x="107"/>
        <item x="210"/>
        <item x="100"/>
        <item x="62"/>
        <item x="81"/>
        <item x="55"/>
        <item x="151"/>
        <item x="188"/>
        <item x="110"/>
        <item x="195"/>
        <item x="84"/>
        <item x="137"/>
        <item t="default"/>
      </items>
    </pivotField>
    <pivotField showAll="0"/>
    <pivotField showAll="0"/>
    <pivotField showAll="0"/>
    <pivotField axis="axisRow" showAll="0" sortType="descending">
      <items count="11">
        <item x="8"/>
        <item x="4"/>
        <item x="6"/>
        <item x="7"/>
        <item x="5"/>
        <item x="9"/>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65" showAll="0"/>
    <pivotField showAll="0"/>
    <pivotField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5">
        <item x="1"/>
        <item x="2"/>
        <item x="0"/>
        <item x="3"/>
        <item t="default"/>
      </items>
    </pivotField>
  </pivotFields>
  <rowFields count="1">
    <field x="5"/>
  </rowFields>
  <rowItems count="11">
    <i>
      <x v="8"/>
    </i>
    <i>
      <x v="2"/>
    </i>
    <i>
      <x v="4"/>
    </i>
    <i>
      <x v="7"/>
    </i>
    <i>
      <x v="9"/>
    </i>
    <i>
      <x v="1"/>
    </i>
    <i>
      <x v="3"/>
    </i>
    <i>
      <x v="6"/>
    </i>
    <i>
      <x/>
    </i>
    <i>
      <x v="5"/>
    </i>
    <i t="grand">
      <x/>
    </i>
  </rowItems>
  <colItems count="1">
    <i/>
  </colItems>
  <dataFields count="1">
    <dataField name="Sum of Booking Amount" fld="9" baseField="0" baseItem="0" numFmtId="165"/>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2" cacheId="1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7">
  <location ref="A3:B9" firstHeaderRow="1" firstDataRow="1" firstDataCol="1"/>
  <pivotFields count="17">
    <pivotField dataField="1" showAll="0"/>
    <pivotField numFmtId="164" showAll="0">
      <items count="215">
        <item x="88"/>
        <item x="159"/>
        <item x="104"/>
        <item x="83"/>
        <item x="73"/>
        <item x="20"/>
        <item x="101"/>
        <item x="184"/>
        <item x="17"/>
        <item x="166"/>
        <item x="186"/>
        <item x="192"/>
        <item x="134"/>
        <item x="86"/>
        <item x="21"/>
        <item x="51"/>
        <item x="31"/>
        <item x="203"/>
        <item x="76"/>
        <item x="149"/>
        <item x="140"/>
        <item x="13"/>
        <item x="116"/>
        <item x="34"/>
        <item x="78"/>
        <item x="41"/>
        <item x="1"/>
        <item x="175"/>
        <item x="11"/>
        <item x="185"/>
        <item x="89"/>
        <item x="197"/>
        <item x="12"/>
        <item x="202"/>
        <item x="23"/>
        <item x="161"/>
        <item x="33"/>
        <item x="0"/>
        <item x="16"/>
        <item x="5"/>
        <item x="125"/>
        <item x="14"/>
        <item x="56"/>
        <item x="164"/>
        <item x="59"/>
        <item x="113"/>
        <item x="9"/>
        <item x="196"/>
        <item x="27"/>
        <item x="198"/>
        <item x="121"/>
        <item x="68"/>
        <item x="211"/>
        <item x="111"/>
        <item x="61"/>
        <item x="52"/>
        <item x="46"/>
        <item x="49"/>
        <item x="143"/>
        <item x="58"/>
        <item x="170"/>
        <item x="212"/>
        <item x="146"/>
        <item x="102"/>
        <item x="94"/>
        <item x="53"/>
        <item x="187"/>
        <item x="70"/>
        <item x="144"/>
        <item x="60"/>
        <item x="180"/>
        <item x="177"/>
        <item x="43"/>
        <item x="176"/>
        <item x="174"/>
        <item x="105"/>
        <item x="139"/>
        <item x="205"/>
        <item x="91"/>
        <item x="25"/>
        <item x="90"/>
        <item x="7"/>
        <item x="181"/>
        <item x="142"/>
        <item x="87"/>
        <item x="54"/>
        <item x="153"/>
        <item x="204"/>
        <item x="199"/>
        <item x="160"/>
        <item x="120"/>
        <item x="115"/>
        <item x="93"/>
        <item x="201"/>
        <item x="67"/>
        <item x="209"/>
        <item x="145"/>
        <item x="42"/>
        <item x="19"/>
        <item x="171"/>
        <item x="99"/>
        <item x="169"/>
        <item x="36"/>
        <item x="191"/>
        <item x="108"/>
        <item x="179"/>
        <item x="37"/>
        <item x="103"/>
        <item x="165"/>
        <item x="135"/>
        <item x="82"/>
        <item x="15"/>
        <item x="133"/>
        <item x="193"/>
        <item x="122"/>
        <item x="30"/>
        <item x="71"/>
        <item x="178"/>
        <item x="40"/>
        <item x="39"/>
        <item x="96"/>
        <item x="128"/>
        <item x="213"/>
        <item x="24"/>
        <item x="172"/>
        <item x="163"/>
        <item x="77"/>
        <item x="123"/>
        <item x="190"/>
        <item x="22"/>
        <item x="69"/>
        <item x="130"/>
        <item x="127"/>
        <item x="38"/>
        <item x="158"/>
        <item x="97"/>
        <item x="194"/>
        <item x="74"/>
        <item x="3"/>
        <item x="64"/>
        <item x="206"/>
        <item x="129"/>
        <item x="57"/>
        <item x="6"/>
        <item x="44"/>
        <item x="154"/>
        <item x="155"/>
        <item x="132"/>
        <item x="95"/>
        <item x="148"/>
        <item x="208"/>
        <item x="65"/>
        <item x="200"/>
        <item x="114"/>
        <item x="2"/>
        <item x="8"/>
        <item x="109"/>
        <item x="112"/>
        <item x="119"/>
        <item x="98"/>
        <item x="47"/>
        <item x="79"/>
        <item x="207"/>
        <item x="118"/>
        <item x="162"/>
        <item x="48"/>
        <item x="136"/>
        <item x="126"/>
        <item x="28"/>
        <item x="18"/>
        <item x="4"/>
        <item x="66"/>
        <item x="138"/>
        <item x="168"/>
        <item x="183"/>
        <item x="167"/>
        <item x="80"/>
        <item x="189"/>
        <item x="92"/>
        <item x="72"/>
        <item x="124"/>
        <item x="106"/>
        <item x="32"/>
        <item x="152"/>
        <item x="85"/>
        <item x="63"/>
        <item x="50"/>
        <item x="173"/>
        <item x="117"/>
        <item x="157"/>
        <item x="29"/>
        <item x="131"/>
        <item x="141"/>
        <item x="45"/>
        <item x="150"/>
        <item x="26"/>
        <item x="147"/>
        <item x="75"/>
        <item x="10"/>
        <item x="182"/>
        <item x="156"/>
        <item x="35"/>
        <item x="107"/>
        <item x="210"/>
        <item x="100"/>
        <item x="62"/>
        <item x="81"/>
        <item x="55"/>
        <item x="151"/>
        <item x="188"/>
        <item x="110"/>
        <item x="195"/>
        <item x="84"/>
        <item x="137"/>
        <item t="default"/>
      </items>
    </pivotField>
    <pivotField showAll="0"/>
    <pivotField showAll="0"/>
    <pivotField showAll="0"/>
    <pivotField showAll="0"/>
    <pivotField showAll="0"/>
    <pivotField axis="axisRow" showAll="0">
      <items count="6">
        <item x="2"/>
        <item x="3"/>
        <item x="4"/>
        <item x="1"/>
        <item x="0"/>
        <item t="default"/>
      </items>
    </pivotField>
    <pivotField showAll="0"/>
    <pivotField numFmtId="165" showAll="0"/>
    <pivotField showAll="0"/>
    <pivotField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5">
        <item x="1"/>
        <item x="2"/>
        <item x="0"/>
        <item x="3"/>
        <item t="default"/>
      </items>
    </pivotField>
  </pivotFields>
  <rowFields count="1">
    <field x="7"/>
  </rowFields>
  <rowItems count="6">
    <i>
      <x/>
    </i>
    <i>
      <x v="1"/>
    </i>
    <i>
      <x v="2"/>
    </i>
    <i>
      <x v="3"/>
    </i>
    <i>
      <x v="4"/>
    </i>
    <i t="grand">
      <x/>
    </i>
  </rowItems>
  <colItems count="1">
    <i/>
  </colItems>
  <dataFields count="1">
    <dataField name="Count of Booking ID" fld="0" subtotal="count" baseField="0" baseItem="0"/>
  </dataFields>
  <chartFormats count="7">
    <chartFormat chart="0" format="0"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7" count="1" selected="0">
            <x v="0"/>
          </reference>
        </references>
      </pivotArea>
    </chartFormat>
    <chartFormat chart="6" format="14">
      <pivotArea type="data" outline="0" fieldPosition="0">
        <references count="2">
          <reference field="4294967294" count="1" selected="0">
            <x v="0"/>
          </reference>
          <reference field="7" count="1" selected="0">
            <x v="1"/>
          </reference>
        </references>
      </pivotArea>
    </chartFormat>
    <chartFormat chart="6" format="15">
      <pivotArea type="data" outline="0" fieldPosition="0">
        <references count="2">
          <reference field="4294967294" count="1" selected="0">
            <x v="0"/>
          </reference>
          <reference field="7" count="1" selected="0">
            <x v="2"/>
          </reference>
        </references>
      </pivotArea>
    </chartFormat>
    <chartFormat chart="6" format="16">
      <pivotArea type="data" outline="0" fieldPosition="0">
        <references count="2">
          <reference field="4294967294" count="1" selected="0">
            <x v="0"/>
          </reference>
          <reference field="7" count="1" selected="0">
            <x v="3"/>
          </reference>
        </references>
      </pivotArea>
    </chartFormat>
    <chartFormat chart="6"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3" cacheId="1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4">
  <location ref="A3:B6" firstHeaderRow="1" firstDataRow="1" firstDataCol="1"/>
  <pivotFields count="17">
    <pivotField dataField="1" showAll="0"/>
    <pivotField numFmtId="164" showAll="0">
      <items count="215">
        <item x="88"/>
        <item x="159"/>
        <item x="104"/>
        <item x="83"/>
        <item x="73"/>
        <item x="20"/>
        <item x="101"/>
        <item x="184"/>
        <item x="17"/>
        <item x="166"/>
        <item x="186"/>
        <item x="192"/>
        <item x="134"/>
        <item x="86"/>
        <item x="21"/>
        <item x="51"/>
        <item x="31"/>
        <item x="203"/>
        <item x="76"/>
        <item x="149"/>
        <item x="140"/>
        <item x="13"/>
        <item x="116"/>
        <item x="34"/>
        <item x="78"/>
        <item x="41"/>
        <item x="1"/>
        <item x="175"/>
        <item x="11"/>
        <item x="185"/>
        <item x="89"/>
        <item x="197"/>
        <item x="12"/>
        <item x="202"/>
        <item x="23"/>
        <item x="161"/>
        <item x="33"/>
        <item x="0"/>
        <item x="16"/>
        <item x="5"/>
        <item x="125"/>
        <item x="14"/>
        <item x="56"/>
        <item x="164"/>
        <item x="59"/>
        <item x="113"/>
        <item x="9"/>
        <item x="196"/>
        <item x="27"/>
        <item x="198"/>
        <item x="121"/>
        <item x="68"/>
        <item x="211"/>
        <item x="111"/>
        <item x="61"/>
        <item x="52"/>
        <item x="46"/>
        <item x="49"/>
        <item x="143"/>
        <item x="58"/>
        <item x="170"/>
        <item x="212"/>
        <item x="146"/>
        <item x="102"/>
        <item x="94"/>
        <item x="53"/>
        <item x="187"/>
        <item x="70"/>
        <item x="144"/>
        <item x="60"/>
        <item x="180"/>
        <item x="177"/>
        <item x="43"/>
        <item x="176"/>
        <item x="174"/>
        <item x="105"/>
        <item x="139"/>
        <item x="205"/>
        <item x="91"/>
        <item x="25"/>
        <item x="90"/>
        <item x="7"/>
        <item x="181"/>
        <item x="142"/>
        <item x="87"/>
        <item x="54"/>
        <item x="153"/>
        <item x="204"/>
        <item x="199"/>
        <item x="160"/>
        <item x="120"/>
        <item x="115"/>
        <item x="93"/>
        <item x="201"/>
        <item x="67"/>
        <item x="209"/>
        <item x="145"/>
        <item x="42"/>
        <item x="19"/>
        <item x="171"/>
        <item x="99"/>
        <item x="169"/>
        <item x="36"/>
        <item x="191"/>
        <item x="108"/>
        <item x="179"/>
        <item x="37"/>
        <item x="103"/>
        <item x="165"/>
        <item x="135"/>
        <item x="82"/>
        <item x="15"/>
        <item x="133"/>
        <item x="193"/>
        <item x="122"/>
        <item x="30"/>
        <item x="71"/>
        <item x="178"/>
        <item x="40"/>
        <item x="39"/>
        <item x="96"/>
        <item x="128"/>
        <item x="213"/>
        <item x="24"/>
        <item x="172"/>
        <item x="163"/>
        <item x="77"/>
        <item x="123"/>
        <item x="190"/>
        <item x="22"/>
        <item x="69"/>
        <item x="130"/>
        <item x="127"/>
        <item x="38"/>
        <item x="158"/>
        <item x="97"/>
        <item x="194"/>
        <item x="74"/>
        <item x="3"/>
        <item x="64"/>
        <item x="206"/>
        <item x="129"/>
        <item x="57"/>
        <item x="6"/>
        <item x="44"/>
        <item x="154"/>
        <item x="155"/>
        <item x="132"/>
        <item x="95"/>
        <item x="148"/>
        <item x="208"/>
        <item x="65"/>
        <item x="200"/>
        <item x="114"/>
        <item x="2"/>
        <item x="8"/>
        <item x="109"/>
        <item x="112"/>
        <item x="119"/>
        <item x="98"/>
        <item x="47"/>
        <item x="79"/>
        <item x="207"/>
        <item x="118"/>
        <item x="162"/>
        <item x="48"/>
        <item x="136"/>
        <item x="126"/>
        <item x="28"/>
        <item x="18"/>
        <item x="4"/>
        <item x="66"/>
        <item x="138"/>
        <item x="168"/>
        <item x="183"/>
        <item x="167"/>
        <item x="80"/>
        <item x="189"/>
        <item x="92"/>
        <item x="72"/>
        <item x="124"/>
        <item x="106"/>
        <item x="32"/>
        <item x="152"/>
        <item x="85"/>
        <item x="63"/>
        <item x="50"/>
        <item x="173"/>
        <item x="117"/>
        <item x="157"/>
        <item x="29"/>
        <item x="131"/>
        <item x="141"/>
        <item x="45"/>
        <item x="150"/>
        <item x="26"/>
        <item x="147"/>
        <item x="75"/>
        <item x="10"/>
        <item x="182"/>
        <item x="156"/>
        <item x="35"/>
        <item x="107"/>
        <item x="210"/>
        <item x="100"/>
        <item x="62"/>
        <item x="81"/>
        <item x="55"/>
        <item x="151"/>
        <item x="188"/>
        <item x="110"/>
        <item x="195"/>
        <item x="84"/>
        <item x="137"/>
        <item t="default"/>
      </items>
    </pivotField>
    <pivotField showAll="0"/>
    <pivotField showAll="0"/>
    <pivotField showAll="0"/>
    <pivotField showAll="0"/>
    <pivotField showAll="0"/>
    <pivotField showAll="0"/>
    <pivotField showAll="0"/>
    <pivotField numFmtId="165" showAll="0"/>
    <pivotField showAll="0"/>
    <pivotField axis="axisRow" showAll="0">
      <items count="3">
        <item x="0"/>
        <item x="1"/>
        <item t="default"/>
      </items>
    </pivotField>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5">
        <item x="1"/>
        <item x="2"/>
        <item x="0"/>
        <item x="3"/>
        <item t="default"/>
      </items>
    </pivotField>
  </pivotFields>
  <rowFields count="1">
    <field x="11"/>
  </rowFields>
  <rowItems count="3">
    <i>
      <x/>
    </i>
    <i>
      <x v="1"/>
    </i>
    <i t="grand">
      <x/>
    </i>
  </rowItems>
  <colItems count="1">
    <i/>
  </colItems>
  <dataFields count="1">
    <dataField name="Count of Booking ID" fld="0" subtotal="count" baseField="0" baseItem="0"/>
  </dataFields>
  <chartFormats count="5">
    <chartFormat chart="0" format="2">
      <pivotArea type="data" outline="0" fieldPosition="0">
        <references count="2">
          <reference field="4294967294" count="1" selected="0">
            <x v="0"/>
          </reference>
          <reference field="11" count="1" selected="0">
            <x v="1"/>
          </reference>
        </references>
      </pivotArea>
    </chartFormat>
    <chartFormat chart="0" format="3"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1" count="1" selected="0">
            <x v="0"/>
          </reference>
        </references>
      </pivotArea>
    </chartFormat>
    <chartFormat chart="3" format="9">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4" cacheId="1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3">
  <location ref="A3:C17" firstHeaderRow="0" firstDataRow="1" firstDataCol="1"/>
  <pivotFields count="17">
    <pivotField dataField="1" showAll="0"/>
    <pivotField numFmtId="164" showAll="0">
      <items count="215">
        <item x="88"/>
        <item x="159"/>
        <item x="104"/>
        <item x="83"/>
        <item x="73"/>
        <item x="20"/>
        <item x="101"/>
        <item x="184"/>
        <item x="17"/>
        <item x="166"/>
        <item x="186"/>
        <item x="192"/>
        <item x="134"/>
        <item x="86"/>
        <item x="21"/>
        <item x="51"/>
        <item x="31"/>
        <item x="203"/>
        <item x="76"/>
        <item x="149"/>
        <item x="140"/>
        <item x="13"/>
        <item x="116"/>
        <item x="34"/>
        <item x="78"/>
        <item x="41"/>
        <item x="1"/>
        <item x="175"/>
        <item x="11"/>
        <item x="185"/>
        <item x="89"/>
        <item x="197"/>
        <item x="12"/>
        <item x="202"/>
        <item x="23"/>
        <item x="161"/>
        <item x="33"/>
        <item x="0"/>
        <item x="16"/>
        <item x="5"/>
        <item x="125"/>
        <item x="14"/>
        <item x="56"/>
        <item x="164"/>
        <item x="59"/>
        <item x="113"/>
        <item x="9"/>
        <item x="196"/>
        <item x="27"/>
        <item x="198"/>
        <item x="121"/>
        <item x="68"/>
        <item x="211"/>
        <item x="111"/>
        <item x="61"/>
        <item x="52"/>
        <item x="46"/>
        <item x="49"/>
        <item x="143"/>
        <item x="58"/>
        <item x="170"/>
        <item x="212"/>
        <item x="146"/>
        <item x="102"/>
        <item x="94"/>
        <item x="53"/>
        <item x="187"/>
        <item x="70"/>
        <item x="144"/>
        <item x="60"/>
        <item x="180"/>
        <item x="177"/>
        <item x="43"/>
        <item x="176"/>
        <item x="174"/>
        <item x="105"/>
        <item x="139"/>
        <item x="205"/>
        <item x="91"/>
        <item x="25"/>
        <item x="90"/>
        <item x="7"/>
        <item x="181"/>
        <item x="142"/>
        <item x="87"/>
        <item x="54"/>
        <item x="153"/>
        <item x="204"/>
        <item x="199"/>
        <item x="160"/>
        <item x="120"/>
        <item x="115"/>
        <item x="93"/>
        <item x="201"/>
        <item x="67"/>
        <item x="209"/>
        <item x="145"/>
        <item x="42"/>
        <item x="19"/>
        <item x="171"/>
        <item x="99"/>
        <item x="169"/>
        <item x="36"/>
        <item x="191"/>
        <item x="108"/>
        <item x="179"/>
        <item x="37"/>
        <item x="103"/>
        <item x="165"/>
        <item x="135"/>
        <item x="82"/>
        <item x="15"/>
        <item x="133"/>
        <item x="193"/>
        <item x="122"/>
        <item x="30"/>
        <item x="71"/>
        <item x="178"/>
        <item x="40"/>
        <item x="39"/>
        <item x="96"/>
        <item x="128"/>
        <item x="213"/>
        <item x="24"/>
        <item x="172"/>
        <item x="163"/>
        <item x="77"/>
        <item x="123"/>
        <item x="190"/>
        <item x="22"/>
        <item x="69"/>
        <item x="130"/>
        <item x="127"/>
        <item x="38"/>
        <item x="158"/>
        <item x="97"/>
        <item x="194"/>
        <item x="74"/>
        <item x="3"/>
        <item x="64"/>
        <item x="206"/>
        <item x="129"/>
        <item x="57"/>
        <item x="6"/>
        <item x="44"/>
        <item x="154"/>
        <item x="155"/>
        <item x="132"/>
        <item x="95"/>
        <item x="148"/>
        <item x="208"/>
        <item x="65"/>
        <item x="200"/>
        <item x="114"/>
        <item x="2"/>
        <item x="8"/>
        <item x="109"/>
        <item x="112"/>
        <item x="119"/>
        <item x="98"/>
        <item x="47"/>
        <item x="79"/>
        <item x="207"/>
        <item x="118"/>
        <item x="162"/>
        <item x="48"/>
        <item x="136"/>
        <item x="126"/>
        <item x="28"/>
        <item x="18"/>
        <item x="4"/>
        <item x="66"/>
        <item x="138"/>
        <item x="168"/>
        <item x="183"/>
        <item x="167"/>
        <item x="80"/>
        <item x="189"/>
        <item x="92"/>
        <item x="72"/>
        <item x="124"/>
        <item x="106"/>
        <item x="32"/>
        <item x="152"/>
        <item x="85"/>
        <item x="63"/>
        <item x="50"/>
        <item x="173"/>
        <item x="117"/>
        <item x="157"/>
        <item x="29"/>
        <item x="131"/>
        <item x="141"/>
        <item x="45"/>
        <item x="150"/>
        <item x="26"/>
        <item x="147"/>
        <item x="75"/>
        <item x="10"/>
        <item x="182"/>
        <item x="156"/>
        <item x="35"/>
        <item x="107"/>
        <item x="210"/>
        <item x="100"/>
        <item x="62"/>
        <item x="81"/>
        <item x="55"/>
        <item x="151"/>
        <item x="188"/>
        <item x="110"/>
        <item x="195"/>
        <item x="84"/>
        <item x="137"/>
        <item t="default"/>
      </items>
    </pivotField>
    <pivotField showAll="0"/>
    <pivotField showAll="0"/>
    <pivotField showAll="0"/>
    <pivotField showAll="0"/>
    <pivotField showAll="0"/>
    <pivotField showAll="0"/>
    <pivotField showAll="0"/>
    <pivotField dataField="1" numFmtId="165" showAll="0"/>
    <pivotField showAll="0"/>
    <pivotField showAll="0"/>
    <pivotField numFmtId="164"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1"/>
        <item x="2"/>
        <item x="0"/>
        <item x="3"/>
        <item t="default"/>
      </items>
    </pivotField>
  </pivotFields>
  <rowFields count="2">
    <field x="16"/>
    <field x="15"/>
  </rowFields>
  <rowItems count="14">
    <i>
      <x/>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Booking Amount" fld="9" baseField="0" baseItem="0" numFmtId="165"/>
    <dataField name="Count of Booking 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12" format="12"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PivotTable5" cacheId="1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4">
  <location ref="A3:B8" firstHeaderRow="1" firstDataRow="1" firstDataCol="1"/>
  <pivotFields count="17">
    <pivotField dataField="1" showAll="0"/>
    <pivotField numFmtId="164" showAll="0">
      <items count="215">
        <item x="88"/>
        <item x="159"/>
        <item x="104"/>
        <item x="83"/>
        <item x="73"/>
        <item x="20"/>
        <item x="101"/>
        <item x="184"/>
        <item x="17"/>
        <item x="166"/>
        <item x="186"/>
        <item x="192"/>
        <item x="134"/>
        <item x="86"/>
        <item x="21"/>
        <item x="51"/>
        <item x="31"/>
        <item x="203"/>
        <item x="76"/>
        <item x="149"/>
        <item x="140"/>
        <item x="13"/>
        <item x="116"/>
        <item x="34"/>
        <item x="78"/>
        <item x="41"/>
        <item x="1"/>
        <item x="175"/>
        <item x="11"/>
        <item x="185"/>
        <item x="89"/>
        <item x="197"/>
        <item x="12"/>
        <item x="202"/>
        <item x="23"/>
        <item x="161"/>
        <item x="33"/>
        <item x="0"/>
        <item x="16"/>
        <item x="5"/>
        <item x="125"/>
        <item x="14"/>
        <item x="56"/>
        <item x="164"/>
        <item x="59"/>
        <item x="113"/>
        <item x="9"/>
        <item x="196"/>
        <item x="27"/>
        <item x="198"/>
        <item x="121"/>
        <item x="68"/>
        <item x="211"/>
        <item x="111"/>
        <item x="61"/>
        <item x="52"/>
        <item x="46"/>
        <item x="49"/>
        <item x="143"/>
        <item x="58"/>
        <item x="170"/>
        <item x="212"/>
        <item x="146"/>
        <item x="102"/>
        <item x="94"/>
        <item x="53"/>
        <item x="187"/>
        <item x="70"/>
        <item x="144"/>
        <item x="60"/>
        <item x="180"/>
        <item x="177"/>
        <item x="43"/>
        <item x="176"/>
        <item x="174"/>
        <item x="105"/>
        <item x="139"/>
        <item x="205"/>
        <item x="91"/>
        <item x="25"/>
        <item x="90"/>
        <item x="7"/>
        <item x="181"/>
        <item x="142"/>
        <item x="87"/>
        <item x="54"/>
        <item x="153"/>
        <item x="204"/>
        <item x="199"/>
        <item x="160"/>
        <item x="120"/>
        <item x="115"/>
        <item x="93"/>
        <item x="201"/>
        <item x="67"/>
        <item x="209"/>
        <item x="145"/>
        <item x="42"/>
        <item x="19"/>
        <item x="171"/>
        <item x="99"/>
        <item x="169"/>
        <item x="36"/>
        <item x="191"/>
        <item x="108"/>
        <item x="179"/>
        <item x="37"/>
        <item x="103"/>
        <item x="165"/>
        <item x="135"/>
        <item x="82"/>
        <item x="15"/>
        <item x="133"/>
        <item x="193"/>
        <item x="122"/>
        <item x="30"/>
        <item x="71"/>
        <item x="178"/>
        <item x="40"/>
        <item x="39"/>
        <item x="96"/>
        <item x="128"/>
        <item x="213"/>
        <item x="24"/>
        <item x="172"/>
        <item x="163"/>
        <item x="77"/>
        <item x="123"/>
        <item x="190"/>
        <item x="22"/>
        <item x="69"/>
        <item x="130"/>
        <item x="127"/>
        <item x="38"/>
        <item x="158"/>
        <item x="97"/>
        <item x="194"/>
        <item x="74"/>
        <item x="3"/>
        <item x="64"/>
        <item x="206"/>
        <item x="129"/>
        <item x="57"/>
        <item x="6"/>
        <item x="44"/>
        <item x="154"/>
        <item x="155"/>
        <item x="132"/>
        <item x="95"/>
        <item x="148"/>
        <item x="208"/>
        <item x="65"/>
        <item x="200"/>
        <item x="114"/>
        <item x="2"/>
        <item x="8"/>
        <item x="109"/>
        <item x="112"/>
        <item x="119"/>
        <item x="98"/>
        <item x="47"/>
        <item x="79"/>
        <item x="207"/>
        <item x="118"/>
        <item x="162"/>
        <item x="48"/>
        <item x="136"/>
        <item x="126"/>
        <item x="28"/>
        <item x="18"/>
        <item x="4"/>
        <item x="66"/>
        <item x="138"/>
        <item x="168"/>
        <item x="183"/>
        <item x="167"/>
        <item x="80"/>
        <item x="189"/>
        <item x="92"/>
        <item x="72"/>
        <item x="124"/>
        <item x="106"/>
        <item x="32"/>
        <item x="152"/>
        <item x="85"/>
        <item x="63"/>
        <item x="50"/>
        <item x="173"/>
        <item x="117"/>
        <item x="157"/>
        <item x="29"/>
        <item x="131"/>
        <item x="141"/>
        <item x="45"/>
        <item x="150"/>
        <item x="26"/>
        <item x="147"/>
        <item x="75"/>
        <item x="10"/>
        <item x="182"/>
        <item x="156"/>
        <item x="35"/>
        <item x="107"/>
        <item x="210"/>
        <item x="100"/>
        <item x="62"/>
        <item x="81"/>
        <item x="55"/>
        <item x="151"/>
        <item x="188"/>
        <item x="110"/>
        <item x="195"/>
        <item x="84"/>
        <item x="137"/>
        <item t="default"/>
      </items>
    </pivotField>
    <pivotField showAll="0"/>
    <pivotField showAll="0"/>
    <pivotField showAll="0"/>
    <pivotField showAll="0"/>
    <pivotField showAll="0"/>
    <pivotField showAll="0"/>
    <pivotField showAll="0"/>
    <pivotField numFmtId="165" showAll="0"/>
    <pivotField axis="axisRow" showAll="0">
      <items count="5">
        <item x="0"/>
        <item x="3"/>
        <item x="1"/>
        <item x="2"/>
        <item t="default"/>
      </items>
    </pivotField>
    <pivotField showAll="0"/>
    <pivotField numFmtId="164" showAll="0"/>
    <pivotField showAll="0"/>
    <pivotField showAll="0"/>
    <pivotField showAll="0" defaultSubtotal="0"/>
    <pivotField showAll="0" defaultSubtotal="0">
      <items count="4">
        <item x="1"/>
        <item x="2"/>
        <item x="0"/>
        <item x="3"/>
      </items>
    </pivotField>
  </pivotFields>
  <rowFields count="1">
    <field x="10"/>
  </rowFields>
  <rowItems count="5">
    <i>
      <x/>
    </i>
    <i>
      <x v="1"/>
    </i>
    <i>
      <x v="2"/>
    </i>
    <i>
      <x v="3"/>
    </i>
    <i t="grand">
      <x/>
    </i>
  </rowItems>
  <colItems count="1">
    <i/>
  </colItems>
  <dataFields count="1">
    <dataField name="Count of Booking ID" fld="0" subtotal="count" baseField="0" baseItem="0"/>
  </dataFields>
  <chartFormats count="5">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10" count="1" selected="0">
            <x v="0"/>
          </reference>
        </references>
      </pivotArea>
    </chartFormat>
    <chartFormat chart="3" format="13">
      <pivotArea type="data" outline="0" fieldPosition="0">
        <references count="2">
          <reference field="4294967294" count="1" selected="0">
            <x v="0"/>
          </reference>
          <reference field="10" count="1" selected="0">
            <x v="1"/>
          </reference>
        </references>
      </pivotArea>
    </chartFormat>
    <chartFormat chart="3" format="14">
      <pivotArea type="data" outline="0" fieldPosition="0">
        <references count="2">
          <reference field="4294967294" count="1" selected="0">
            <x v="0"/>
          </reference>
          <reference field="10" count="1" selected="0">
            <x v="2"/>
          </reference>
        </references>
      </pivotArea>
    </chartFormat>
    <chartFormat chart="3" format="15">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name="PivotTable6" cacheId="1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6">
  <location ref="A3:C10" firstHeaderRow="0" firstDataRow="1" firstDataCol="1"/>
  <pivotFields count="17">
    <pivotField dataField="1" showAll="0"/>
    <pivotField numFmtId="164" showAll="0">
      <items count="215">
        <item x="88"/>
        <item x="159"/>
        <item x="104"/>
        <item x="83"/>
        <item x="73"/>
        <item x="20"/>
        <item x="101"/>
        <item x="184"/>
        <item x="17"/>
        <item x="166"/>
        <item x="186"/>
        <item x="192"/>
        <item x="134"/>
        <item x="86"/>
        <item x="21"/>
        <item x="51"/>
        <item x="31"/>
        <item x="203"/>
        <item x="76"/>
        <item x="149"/>
        <item x="140"/>
        <item x="13"/>
        <item x="116"/>
        <item x="34"/>
        <item x="78"/>
        <item x="41"/>
        <item x="1"/>
        <item x="175"/>
        <item x="11"/>
        <item x="185"/>
        <item x="89"/>
        <item x="197"/>
        <item x="12"/>
        <item x="202"/>
        <item x="23"/>
        <item x="161"/>
        <item x="33"/>
        <item x="0"/>
        <item x="16"/>
        <item x="5"/>
        <item x="125"/>
        <item x="14"/>
        <item x="56"/>
        <item x="164"/>
        <item x="59"/>
        <item x="113"/>
        <item x="9"/>
        <item x="196"/>
        <item x="27"/>
        <item x="198"/>
        <item x="121"/>
        <item x="68"/>
        <item x="211"/>
        <item x="111"/>
        <item x="61"/>
        <item x="52"/>
        <item x="46"/>
        <item x="49"/>
        <item x="143"/>
        <item x="58"/>
        <item x="170"/>
        <item x="212"/>
        <item x="146"/>
        <item x="102"/>
        <item x="94"/>
        <item x="53"/>
        <item x="187"/>
        <item x="70"/>
        <item x="144"/>
        <item x="60"/>
        <item x="180"/>
        <item x="177"/>
        <item x="43"/>
        <item x="176"/>
        <item x="174"/>
        <item x="105"/>
        <item x="139"/>
        <item x="205"/>
        <item x="91"/>
        <item x="25"/>
        <item x="90"/>
        <item x="7"/>
        <item x="181"/>
        <item x="142"/>
        <item x="87"/>
        <item x="54"/>
        <item x="153"/>
        <item x="204"/>
        <item x="199"/>
        <item x="160"/>
        <item x="120"/>
        <item x="115"/>
        <item x="93"/>
        <item x="201"/>
        <item x="67"/>
        <item x="209"/>
        <item x="145"/>
        <item x="42"/>
        <item x="19"/>
        <item x="171"/>
        <item x="99"/>
        <item x="169"/>
        <item x="36"/>
        <item x="191"/>
        <item x="108"/>
        <item x="179"/>
        <item x="37"/>
        <item x="103"/>
        <item x="165"/>
        <item x="135"/>
        <item x="82"/>
        <item x="15"/>
        <item x="133"/>
        <item x="193"/>
        <item x="122"/>
        <item x="30"/>
        <item x="71"/>
        <item x="178"/>
        <item x="40"/>
        <item x="39"/>
        <item x="96"/>
        <item x="128"/>
        <item x="213"/>
        <item x="24"/>
        <item x="172"/>
        <item x="163"/>
        <item x="77"/>
        <item x="123"/>
        <item x="190"/>
        <item x="22"/>
        <item x="69"/>
        <item x="130"/>
        <item x="127"/>
        <item x="38"/>
        <item x="158"/>
        <item x="97"/>
        <item x="194"/>
        <item x="74"/>
        <item x="3"/>
        <item x="64"/>
        <item x="206"/>
        <item x="129"/>
        <item x="57"/>
        <item x="6"/>
        <item x="44"/>
        <item x="154"/>
        <item x="155"/>
        <item x="132"/>
        <item x="95"/>
        <item x="148"/>
        <item x="208"/>
        <item x="65"/>
        <item x="200"/>
        <item x="114"/>
        <item x="2"/>
        <item x="8"/>
        <item x="109"/>
        <item x="112"/>
        <item x="119"/>
        <item x="98"/>
        <item x="47"/>
        <item x="79"/>
        <item x="207"/>
        <item x="118"/>
        <item x="162"/>
        <item x="48"/>
        <item x="136"/>
        <item x="126"/>
        <item x="28"/>
        <item x="18"/>
        <item x="4"/>
        <item x="66"/>
        <item x="138"/>
        <item x="168"/>
        <item x="183"/>
        <item x="167"/>
        <item x="80"/>
        <item x="189"/>
        <item x="92"/>
        <item x="72"/>
        <item x="124"/>
        <item x="106"/>
        <item x="32"/>
        <item x="152"/>
        <item x="85"/>
        <item x="63"/>
        <item x="50"/>
        <item x="173"/>
        <item x="117"/>
        <item x="157"/>
        <item x="29"/>
        <item x="131"/>
        <item x="141"/>
        <item x="45"/>
        <item x="150"/>
        <item x="26"/>
        <item x="147"/>
        <item x="75"/>
        <item x="10"/>
        <item x="182"/>
        <item x="156"/>
        <item x="35"/>
        <item x="107"/>
        <item x="210"/>
        <item x="100"/>
        <item x="62"/>
        <item x="81"/>
        <item x="55"/>
        <item x="151"/>
        <item x="188"/>
        <item x="110"/>
        <item x="195"/>
        <item x="84"/>
        <item x="137"/>
        <item t="default"/>
      </items>
    </pivotField>
    <pivotField showAll="0"/>
    <pivotField showAll="0"/>
    <pivotField showAll="0"/>
    <pivotField showAll="0"/>
    <pivotField showAll="0"/>
    <pivotField showAll="0"/>
    <pivotField showAll="0"/>
    <pivotField dataField="1" numFmtId="165" showAll="0"/>
    <pivotField showAll="0"/>
    <pivotField showAll="0"/>
    <pivotField numFmtId="164" showAll="0"/>
    <pivotField axis="axisRow" showAll="0">
      <items count="7">
        <item x="3"/>
        <item x="0"/>
        <item x="1"/>
        <item x="2"/>
        <item x="4"/>
        <item x="5"/>
        <item t="default"/>
      </items>
    </pivotField>
    <pivotField showAll="0"/>
    <pivotField showAll="0" defaultSubtotal="0"/>
    <pivotField showAll="0" defaultSubtotal="0">
      <items count="4">
        <item x="1"/>
        <item x="2"/>
        <item x="0"/>
        <item x="3"/>
      </items>
    </pivotField>
  </pivotFields>
  <rowFields count="1">
    <field x="13"/>
  </rowFields>
  <rowItems count="7">
    <i>
      <x/>
    </i>
    <i>
      <x v="1"/>
    </i>
    <i>
      <x v="2"/>
    </i>
    <i>
      <x v="3"/>
    </i>
    <i>
      <x v="4"/>
    </i>
    <i>
      <x v="5"/>
    </i>
    <i t="grand">
      <x/>
    </i>
  </rowItems>
  <colFields count="1">
    <field x="-2"/>
  </colFields>
  <colItems count="2">
    <i>
      <x/>
    </i>
    <i i="1">
      <x v="1"/>
    </i>
  </colItems>
  <dataFields count="2">
    <dataField name="Count of Booking ID" fld="0" subtotal="count" baseField="0" baseItem="0"/>
    <dataField name="Sum of Booking Amount" fld="9" baseField="0" baseItem="0" numFmtId="165"/>
  </dataFields>
  <chartFormats count="2">
    <chartFormat chart="5" format="7"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name="PivotTable7" cacheId="1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A4" firstHeaderRow="1" firstDataRow="1" firstDataCol="0"/>
  <pivotFields count="17">
    <pivotField showAll="0"/>
    <pivotField numFmtId="164" showAll="0">
      <items count="215">
        <item x="88"/>
        <item x="159"/>
        <item x="104"/>
        <item x="83"/>
        <item x="73"/>
        <item x="20"/>
        <item x="101"/>
        <item x="184"/>
        <item x="17"/>
        <item x="166"/>
        <item x="186"/>
        <item x="192"/>
        <item x="134"/>
        <item x="86"/>
        <item x="21"/>
        <item x="51"/>
        <item x="31"/>
        <item x="203"/>
        <item x="76"/>
        <item x="149"/>
        <item x="140"/>
        <item x="13"/>
        <item x="116"/>
        <item x="34"/>
        <item x="78"/>
        <item x="41"/>
        <item x="1"/>
        <item x="175"/>
        <item x="11"/>
        <item x="185"/>
        <item x="89"/>
        <item x="197"/>
        <item x="12"/>
        <item x="202"/>
        <item x="23"/>
        <item x="161"/>
        <item x="33"/>
        <item x="0"/>
        <item x="16"/>
        <item x="5"/>
        <item x="125"/>
        <item x="14"/>
        <item x="56"/>
        <item x="164"/>
        <item x="59"/>
        <item x="113"/>
        <item x="9"/>
        <item x="196"/>
        <item x="27"/>
        <item x="198"/>
        <item x="121"/>
        <item x="68"/>
        <item x="211"/>
        <item x="111"/>
        <item x="61"/>
        <item x="52"/>
        <item x="46"/>
        <item x="49"/>
        <item x="143"/>
        <item x="58"/>
        <item x="170"/>
        <item x="212"/>
        <item x="146"/>
        <item x="102"/>
        <item x="94"/>
        <item x="53"/>
        <item x="187"/>
        <item x="70"/>
        <item x="144"/>
        <item x="60"/>
        <item x="180"/>
        <item x="177"/>
        <item x="43"/>
        <item x="176"/>
        <item x="174"/>
        <item x="105"/>
        <item x="139"/>
        <item x="205"/>
        <item x="91"/>
        <item x="25"/>
        <item x="90"/>
        <item x="7"/>
        <item x="181"/>
        <item x="142"/>
        <item x="87"/>
        <item x="54"/>
        <item x="153"/>
        <item x="204"/>
        <item x="199"/>
        <item x="160"/>
        <item x="120"/>
        <item x="115"/>
        <item x="93"/>
        <item x="201"/>
        <item x="67"/>
        <item x="209"/>
        <item x="145"/>
        <item x="42"/>
        <item x="19"/>
        <item x="171"/>
        <item x="99"/>
        <item x="169"/>
        <item x="36"/>
        <item x="191"/>
        <item x="108"/>
        <item x="179"/>
        <item x="37"/>
        <item x="103"/>
        <item x="165"/>
        <item x="135"/>
        <item x="82"/>
        <item x="15"/>
        <item x="133"/>
        <item x="193"/>
        <item x="122"/>
        <item x="30"/>
        <item x="71"/>
        <item x="178"/>
        <item x="40"/>
        <item x="39"/>
        <item x="96"/>
        <item x="128"/>
        <item x="213"/>
        <item x="24"/>
        <item x="172"/>
        <item x="163"/>
        <item x="77"/>
        <item x="123"/>
        <item x="190"/>
        <item x="22"/>
        <item x="69"/>
        <item x="130"/>
        <item x="127"/>
        <item x="38"/>
        <item x="158"/>
        <item x="97"/>
        <item x="194"/>
        <item x="74"/>
        <item x="3"/>
        <item x="64"/>
        <item x="206"/>
        <item x="129"/>
        <item x="57"/>
        <item x="6"/>
        <item x="44"/>
        <item x="154"/>
        <item x="155"/>
        <item x="132"/>
        <item x="95"/>
        <item x="148"/>
        <item x="208"/>
        <item x="65"/>
        <item x="200"/>
        <item x="114"/>
        <item x="2"/>
        <item x="8"/>
        <item x="109"/>
        <item x="112"/>
        <item x="119"/>
        <item x="98"/>
        <item x="47"/>
        <item x="79"/>
        <item x="207"/>
        <item x="118"/>
        <item x="162"/>
        <item x="48"/>
        <item x="136"/>
        <item x="126"/>
        <item x="28"/>
        <item x="18"/>
        <item x="4"/>
        <item x="66"/>
        <item x="138"/>
        <item x="168"/>
        <item x="183"/>
        <item x="167"/>
        <item x="80"/>
        <item x="189"/>
        <item x="92"/>
        <item x="72"/>
        <item x="124"/>
        <item x="106"/>
        <item x="32"/>
        <item x="152"/>
        <item x="85"/>
        <item x="63"/>
        <item x="50"/>
        <item x="173"/>
        <item x="117"/>
        <item x="157"/>
        <item x="29"/>
        <item x="131"/>
        <item x="141"/>
        <item x="45"/>
        <item x="150"/>
        <item x="26"/>
        <item x="147"/>
        <item x="75"/>
        <item x="10"/>
        <item x="182"/>
        <item x="156"/>
        <item x="35"/>
        <item x="107"/>
        <item x="210"/>
        <item x="100"/>
        <item x="62"/>
        <item x="81"/>
        <item x="55"/>
        <item x="151"/>
        <item x="188"/>
        <item x="110"/>
        <item x="195"/>
        <item x="84"/>
        <item x="137"/>
        <item t="default"/>
      </items>
    </pivotField>
    <pivotField showAll="0"/>
    <pivotField showAll="0"/>
    <pivotField showAll="0"/>
    <pivotField showAll="0"/>
    <pivotField showAll="0"/>
    <pivotField showAll="0"/>
    <pivotField dataField="1" showAll="0"/>
    <pivotField numFmtId="165" showAll="0"/>
    <pivotField showAll="0"/>
    <pivotField showAll="0"/>
    <pivotField numFmtId="164" showAll="0"/>
    <pivotField showAll="0"/>
    <pivotField showAll="0"/>
    <pivotField showAll="0" defaultSubtotal="0"/>
    <pivotField showAll="0" defaultSubtotal="0">
      <items count="4">
        <item x="1"/>
        <item x="2"/>
        <item x="0"/>
        <item x="3"/>
      </items>
    </pivotField>
  </pivotFields>
  <rowItems count="1">
    <i/>
  </rowItems>
  <colItems count="1">
    <i/>
  </colItems>
  <dataFields count="1">
    <dataField name="Sum of Traveler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name="PivotTable8" cacheId="1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A4" firstHeaderRow="1" firstDataRow="1" firstDataCol="0"/>
  <pivotFields count="17">
    <pivotField showAll="0"/>
    <pivotField numFmtId="164" showAll="0">
      <items count="215">
        <item x="88"/>
        <item x="159"/>
        <item x="104"/>
        <item x="83"/>
        <item x="73"/>
        <item x="20"/>
        <item x="101"/>
        <item x="184"/>
        <item x="17"/>
        <item x="166"/>
        <item x="186"/>
        <item x="192"/>
        <item x="134"/>
        <item x="86"/>
        <item x="21"/>
        <item x="51"/>
        <item x="31"/>
        <item x="203"/>
        <item x="76"/>
        <item x="149"/>
        <item x="140"/>
        <item x="13"/>
        <item x="116"/>
        <item x="34"/>
        <item x="78"/>
        <item x="41"/>
        <item x="1"/>
        <item x="175"/>
        <item x="11"/>
        <item x="185"/>
        <item x="89"/>
        <item x="197"/>
        <item x="12"/>
        <item x="202"/>
        <item x="23"/>
        <item x="161"/>
        <item x="33"/>
        <item x="0"/>
        <item x="16"/>
        <item x="5"/>
        <item x="125"/>
        <item x="14"/>
        <item x="56"/>
        <item x="164"/>
        <item x="59"/>
        <item x="113"/>
        <item x="9"/>
        <item x="196"/>
        <item x="27"/>
        <item x="198"/>
        <item x="121"/>
        <item x="68"/>
        <item x="211"/>
        <item x="111"/>
        <item x="61"/>
        <item x="52"/>
        <item x="46"/>
        <item x="49"/>
        <item x="143"/>
        <item x="58"/>
        <item x="170"/>
        <item x="212"/>
        <item x="146"/>
        <item x="102"/>
        <item x="94"/>
        <item x="53"/>
        <item x="187"/>
        <item x="70"/>
        <item x="144"/>
        <item x="60"/>
        <item x="180"/>
        <item x="177"/>
        <item x="43"/>
        <item x="176"/>
        <item x="174"/>
        <item x="105"/>
        <item x="139"/>
        <item x="205"/>
        <item x="91"/>
        <item x="25"/>
        <item x="90"/>
        <item x="7"/>
        <item x="181"/>
        <item x="142"/>
        <item x="87"/>
        <item x="54"/>
        <item x="153"/>
        <item x="204"/>
        <item x="199"/>
        <item x="160"/>
        <item x="120"/>
        <item x="115"/>
        <item x="93"/>
        <item x="201"/>
        <item x="67"/>
        <item x="209"/>
        <item x="145"/>
        <item x="42"/>
        <item x="19"/>
        <item x="171"/>
        <item x="99"/>
        <item x="169"/>
        <item x="36"/>
        <item x="191"/>
        <item x="108"/>
        <item x="179"/>
        <item x="37"/>
        <item x="103"/>
        <item x="165"/>
        <item x="135"/>
        <item x="82"/>
        <item x="15"/>
        <item x="133"/>
        <item x="193"/>
        <item x="122"/>
        <item x="30"/>
        <item x="71"/>
        <item x="178"/>
        <item x="40"/>
        <item x="39"/>
        <item x="96"/>
        <item x="128"/>
        <item x="213"/>
        <item x="24"/>
        <item x="172"/>
        <item x="163"/>
        <item x="77"/>
        <item x="123"/>
        <item x="190"/>
        <item x="22"/>
        <item x="69"/>
        <item x="130"/>
        <item x="127"/>
        <item x="38"/>
        <item x="158"/>
        <item x="97"/>
        <item x="194"/>
        <item x="74"/>
        <item x="3"/>
        <item x="64"/>
        <item x="206"/>
        <item x="129"/>
        <item x="57"/>
        <item x="6"/>
        <item x="44"/>
        <item x="154"/>
        <item x="155"/>
        <item x="132"/>
        <item x="95"/>
        <item x="148"/>
        <item x="208"/>
        <item x="65"/>
        <item x="200"/>
        <item x="114"/>
        <item x="2"/>
        <item x="8"/>
        <item x="109"/>
        <item x="112"/>
        <item x="119"/>
        <item x="98"/>
        <item x="47"/>
        <item x="79"/>
        <item x="207"/>
        <item x="118"/>
        <item x="162"/>
        <item x="48"/>
        <item x="136"/>
        <item x="126"/>
        <item x="28"/>
        <item x="18"/>
        <item x="4"/>
        <item x="66"/>
        <item x="138"/>
        <item x="168"/>
        <item x="183"/>
        <item x="167"/>
        <item x="80"/>
        <item x="189"/>
        <item x="92"/>
        <item x="72"/>
        <item x="124"/>
        <item x="106"/>
        <item x="32"/>
        <item x="152"/>
        <item x="85"/>
        <item x="63"/>
        <item x="50"/>
        <item x="173"/>
        <item x="117"/>
        <item x="157"/>
        <item x="29"/>
        <item x="131"/>
        <item x="141"/>
        <item x="45"/>
        <item x="150"/>
        <item x="26"/>
        <item x="147"/>
        <item x="75"/>
        <item x="10"/>
        <item x="182"/>
        <item x="156"/>
        <item x="35"/>
        <item x="107"/>
        <item x="210"/>
        <item x="100"/>
        <item x="62"/>
        <item x="81"/>
        <item x="55"/>
        <item x="151"/>
        <item x="188"/>
        <item x="110"/>
        <item x="195"/>
        <item x="84"/>
        <item x="137"/>
        <item t="default"/>
      </items>
    </pivotField>
    <pivotField showAll="0"/>
    <pivotField showAll="0"/>
    <pivotField showAll="0"/>
    <pivotField showAll="0"/>
    <pivotField showAll="0"/>
    <pivotField showAll="0"/>
    <pivotField showAll="0"/>
    <pivotField dataField="1" numFmtId="165" showAll="0"/>
    <pivotField showAll="0"/>
    <pivotField showAll="0"/>
    <pivotField numFmtId="164" showAll="0"/>
    <pivotField showAll="0"/>
    <pivotField showAll="0"/>
    <pivotField showAll="0" defaultSubtotal="0"/>
    <pivotField showAll="0" defaultSubtotal="0">
      <items count="4">
        <item x="1"/>
        <item x="2"/>
        <item x="0"/>
        <item x="3"/>
      </items>
    </pivotField>
  </pivotFields>
  <rowItems count="1">
    <i/>
  </rowItems>
  <colItems count="1">
    <i/>
  </colItems>
  <dataFields count="1">
    <dataField name="Average of Booking Amount" fld="9"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s__Booking_Date" sourceName="Years (Booking Date)">
  <pivotTables>
    <pivotTable tabId="6" name="PivotTable4"/>
  </pivotTables>
  <data>
    <tabular pivotCacheId="780636606">
      <items count="4">
        <i x="1" s="1"/>
        <i x="0" s="1" nd="1"/>
        <i x="3" s="1" nd="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s__Booking_Date" sourceName="Months (Booking Date)">
  <pivotTables>
    <pivotTable tabId="6" name="PivotTable4"/>
  </pivotTables>
  <data>
    <tabular pivotCacheId="780636606">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stination" sourceName="Destination">
  <pivotTables>
    <pivotTable tabId="3" name="PivotTable1"/>
  </pivotTables>
  <data>
    <tabular pivotCacheId="780636606">
      <items count="10">
        <i x="8" s="1"/>
        <i x="4" s="1"/>
        <i x="6" s="1"/>
        <i x="7" s="1"/>
        <i x="5" s="1"/>
        <i x="9" s="1"/>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ckage_Type" sourceName="Package Type">
  <pivotTables>
    <pivotTable tabId="4" name="PivotTable2"/>
  </pivotTables>
  <data>
    <tabular pivotCacheId="780636606">
      <items count="5">
        <i x="2" s="1"/>
        <i x="3" s="1"/>
        <i x="4"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Booking_Status" sourceName="Booking Status">
  <pivotTables>
    <pivotTable tabId="5" name="PivotTable3"/>
  </pivotTables>
  <data>
    <tabular pivotCacheId="780636606">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7" name="PivotTable5"/>
  </pivotTables>
  <data>
    <tabular pivotCacheId="780636606">
      <items count="4">
        <i x="0" s="1"/>
        <i x="3"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8" name="PivotTable6"/>
  </pivotTables>
  <data>
    <tabular pivotCacheId="780636606">
      <items count="6">
        <i x="3" s="1"/>
        <i x="0" s="1"/>
        <i x="1" s="1"/>
        <i x="2" s="1"/>
        <i x="4" s="1"/>
        <i x="5"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Years__Booking_Date1" sourceName="Years (Booking Date)">
  <pivotTables>
    <pivotTable tabId="14" name="PT_Revenue_Destination"/>
    <pivotTable tabId="14" name="PT_Bookings_PackageType"/>
    <pivotTable tabId="14" name="PT_Booking_Status"/>
    <pivotTable tabId="14" name="PT_Monthly"/>
    <pivotTable tabId="14" name="PT_Payment_Method"/>
    <pivotTable tabId="14" name="PT_Salesperson"/>
    <pivotTable tabId="14" name="PT_KPI"/>
  </pivotTables>
  <data>
    <tabular pivotCacheId="780636606">
      <items count="4">
        <i x="1" s="1"/>
        <i x="0" s="1" nd="1"/>
        <i x="3" s="1" nd="1"/>
        <i x="2" s="1" nd="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Months__Booking_Date1" sourceName="Months (Booking Date)">
  <pivotTables>
    <pivotTable tabId="14" name="PT_Revenue_Destination"/>
    <pivotTable tabId="14" name="PT_Bookings_PackageType"/>
    <pivotTable tabId="14" name="PT_Booking_Status"/>
    <pivotTable tabId="14" name="PT_Monthly"/>
    <pivotTable tabId="14" name="PT_Payment_Method"/>
    <pivotTable tabId="14" name="PT_Salesperson"/>
    <pivotTable tabId="14" name="PT_KPI"/>
  </pivotTables>
  <data>
    <tabular pivotCacheId="780636606">
      <items count="14">
        <i x="1" s="1"/>
        <i x="2" s="1"/>
        <i x="3" s="1"/>
        <i x="4" s="1"/>
        <i x="5" s="1"/>
        <i x="6" s="1"/>
        <i x="7" s="1"/>
        <i x="8" s="1"/>
        <i x="9"/>
        <i x="10"/>
        <i x="11"/>
        <i x="12"/>
        <i x="0" nd="1"/>
        <i x="13" nd="1"/>
      </items>
    </tabular>
  </data>
  <extLs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Destination1" sourceName="Destination">
  <pivotTables>
    <pivotTable tabId="14" name="PT_Revenue_Destination"/>
    <pivotTable tabId="14" name="PT_Bookings_PackageType"/>
    <pivotTable tabId="14" name="PT_Booking_Status"/>
    <pivotTable tabId="14" name="PT_Monthly"/>
    <pivotTable tabId="14" name="PT_Payment_Method"/>
    <pivotTable tabId="14" name="PT_Salesperson"/>
    <pivotTable tabId="14" name="PT_KPI"/>
  </pivotTables>
  <data>
    <tabular pivotCacheId="780636606">
      <items count="10">
        <i x="8" s="1"/>
        <i x="4" s="1"/>
        <i x="6" s="1"/>
        <i x="7" s="1"/>
        <i x="5" s="1"/>
        <i x="9" s="1"/>
        <i x="1" s="1"/>
        <i x="3" s="1"/>
        <i x="2"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icer_Package_Type1" sourceName="Package Type">
  <pivotTables>
    <pivotTable tabId="14" name="PT_Revenue_Destination"/>
    <pivotTable tabId="14" name="PT_Bookings_PackageType"/>
    <pivotTable tabId="14" name="PT_Booking_Status"/>
    <pivotTable tabId="14" name="PT_Monthly"/>
    <pivotTable tabId="14" name="PT_Payment_Method"/>
    <pivotTable tabId="14" name="PT_Salesperson"/>
    <pivotTable tabId="14" name="PT_KPI"/>
  </pivotTables>
  <data>
    <tabular pivotCacheId="780636606">
      <items count="5">
        <i x="2" s="1"/>
        <i x="3" s="1"/>
        <i x="4" s="1"/>
        <i x="1" s="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mc:Ignorable="x" name="Slicer_Booking_Status1" sourceName="Booking Status">
  <pivotTables>
    <pivotTable tabId="14" name="PT_Revenue_Destination"/>
    <pivotTable tabId="14" name="PT_Bookings_PackageType"/>
    <pivotTable tabId="14" name="PT_Booking_Status"/>
    <pivotTable tabId="14" name="PT_Monthly"/>
    <pivotTable tabId="14" name="PT_Payment_Method"/>
    <pivotTable tabId="14" name="PT_Salesperson"/>
    <pivotTable tabId="14" name="PT_KPI"/>
  </pivotTables>
  <data>
    <tabular pivotCacheId="780636606">
      <items count="2">
        <i x="0" s="1"/>
        <i x="1"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mc:Ignorable="x" name="Slicer_Payment_Method1" sourceName="Payment Method">
  <pivotTables>
    <pivotTable tabId="14" name="PT_Revenue_Destination"/>
    <pivotTable tabId="14" name="PT_Bookings_PackageType"/>
    <pivotTable tabId="14" name="PT_Booking_Status"/>
    <pivotTable tabId="14" name="PT_Monthly"/>
    <pivotTable tabId="14" name="PT_Payment_Method"/>
    <pivotTable tabId="14" name="PT_Salesperson"/>
    <pivotTable tabId="14" name="PT_KPI"/>
  </pivotTables>
  <data>
    <tabular pivotCacheId="780636606">
      <items count="4">
        <i x="0" s="1"/>
        <i x="3" s="1"/>
        <i x="1" s="1"/>
        <i x="2"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mc:Ignorable="x" name="Slicer_Salesperson1" sourceName="Salesperson">
  <pivotTables>
    <pivotTable tabId="14" name="PT_Revenue_Destination"/>
    <pivotTable tabId="14" name="PT_Bookings_PackageType"/>
    <pivotTable tabId="14" name="PT_Booking_Status"/>
    <pivotTable tabId="14" name="PT_Monthly"/>
    <pivotTable tabId="14" name="PT_Payment_Method"/>
    <pivotTable tabId="14" name="PT_Salesperson"/>
    <pivotTable tabId="14" name="PT_KPI"/>
  </pivotTables>
  <data>
    <tabular pivotCacheId="780636606">
      <items count="6">
        <i x="3" s="1"/>
        <i x="0" s="1"/>
        <i x="1" s="1"/>
        <i x="2"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sh Year" cache="Slicer_Years__Booking_Date1" caption="Year" columnCount="2" rowHeight="190500"/>
  <slicer name="Dash Month" cache="Slicer_Months__Booking_Date1" caption="Month" columnCount="4" rowHeight="190500"/>
  <slicer name="Dash Destination" cache="Slicer_Destination1" caption="Destination" startItem="6" columnCount="2" rowHeight="190500"/>
  <slicer name="Dash Package Type" cache="Slicer_Package_Type1" caption="Package Type" startItem="2" columnCount="2" rowHeight="190500"/>
  <slicer name="Dash Booking Status" cache="Slicer_Booking_Status1" caption="Booking Status" columnCount="2" rowHeight="190500"/>
  <slicer name="Dash Payment Method" cache="Slicer_Payment_Method1" caption="Payment Method" columnCount="2" rowHeight="190500"/>
  <slicer name="Dash Salesperson" cache="Slicer_Salesperson1" caption="Salesperson" columnCount="2" rowHeight="190500"/>
</slicers>
</file>

<file path=xl/slicers/slicer2.xml><?xml version="1.0" encoding="utf-8"?>
<slicers xmlns="http://schemas.microsoft.com/office/spreadsheetml/2009/9/main" xmlns:mc="http://schemas.openxmlformats.org/markup-compatibility/2006" xmlns:x="http://schemas.openxmlformats.org/spreadsheetml/2006/main" mc:Ignorable="x">
  <slicer name="Years (Booking Date)" cache="Slicer_Years__Booking_Date" caption="Years (Booking Date)" style="SlicerStyleDark1" rowHeight="241300"/>
  <slicer name="Months (Booking Date)" cache="Slicer_Months__Booking_Date" caption="Months (Booking Date)" rowHeight="241300"/>
  <slicer name="Destination" cache="Slicer_Destination" caption="Destination" rowHeight="241300"/>
  <slicer name="Package Type" cache="Slicer_Package_Type" caption="Package Type" startItem="1" rowHeight="241300"/>
  <slicer name="Booking Status" cache="Slicer_Booking_Status" caption="Booking Status" rowHeight="241300"/>
  <slicer name="Payment Method" cache="Slicer_Payment_Method" caption="Payment Method" rowHeight="241300"/>
  <slicer name="Salesperson" cache="Slicer_Salesperson" caption="Salesperson" rowHeight="241300"/>
</slicers>
</file>

<file path=xl/tables/table1.xml><?xml version="1.0" encoding="utf-8"?>
<table xmlns="http://schemas.openxmlformats.org/spreadsheetml/2006/main" id="1" name="ToursTravelData" displayName="ToursTravelData" ref="A1:O301">
  <autoFilter ref="A1:O301"/>
  <tableColumns count="15">
    <tableColumn id="1" name="Booking ID"/>
    <tableColumn id="2" name="Booking Date"/>
    <tableColumn id="3" name="Customer Name"/>
    <tableColumn id="4" name="Gender"/>
    <tableColumn id="5" name="Age"/>
    <tableColumn id="6" name="Destination"/>
    <tableColumn id="7" name="Package Name"/>
    <tableColumn id="8" name="Package Type"/>
    <tableColumn id="9" name="Travelers"/>
    <tableColumn id="10" name="Booking Amount"/>
    <tableColumn id="11" name="Payment Method"/>
    <tableColumn id="12" name="Booking Status"/>
    <tableColumn id="13" name="Travel Date"/>
    <tableColumn id="14" name="Salesperson"/>
    <tableColumn id="15" name="Customer 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747D6"/>
    <pageSetUpPr fitToPage="1"/>
  </sheetPr>
  <dimension ref="A1:XFD1"/>
  <sheetViews>
    <sheetView showGridLines="0" tabSelected="1" zoomScale="70" zoomScaleNormal="70" workbookViewId="0">
      <selection activeCell="XFD45" sqref="XFD45"/>
    </sheetView>
  </sheetViews>
  <sheetFormatPr defaultColWidth="0" defaultRowHeight="7.5" customHeight="1" x14ac:dyDescent="0.25"/>
  <cols>
    <col min="1" max="170" width="1.42578125" style="10" customWidth="1"/>
    <col min="171" max="171" width="1.42578125" hidden="1" customWidth="1"/>
    <col min="172" max="16383" width="1.42578125" hidden="1"/>
    <col min="16384" max="16384" width="71.42578125" customWidth="1"/>
  </cols>
  <sheetData/>
  <pageMargins left="0.3" right="0.3" top="0.3" bottom="0.3" header="0.1" footer="0.1"/>
  <pageSetup orientation="landscape"/>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9BD0"/>
  </sheetPr>
  <dimension ref="A1:W14"/>
  <sheetViews>
    <sheetView workbookViewId="0">
      <selection activeCell="E18" sqref="E18"/>
    </sheetView>
  </sheetViews>
  <sheetFormatPr defaultRowHeight="15" x14ac:dyDescent="0.25"/>
  <cols>
    <col min="1" max="1" width="13.140625" customWidth="1"/>
    <col min="2" max="2" width="15.5703125" customWidth="1"/>
    <col min="3" max="3" width="3" customWidth="1"/>
    <col min="4" max="4" width="13.140625" customWidth="1"/>
    <col min="5" max="5" width="18.7109375" customWidth="1"/>
    <col min="6" max="6" width="3" customWidth="1"/>
    <col min="7" max="7" width="13.140625" customWidth="1"/>
    <col min="8" max="8" width="18.7109375" customWidth="1"/>
    <col min="9" max="9" width="3" customWidth="1"/>
    <col min="10" max="10" width="13.140625" customWidth="1"/>
    <col min="11" max="11" width="15.5703125" customWidth="1"/>
    <col min="12" max="12" width="18.7109375" customWidth="1"/>
    <col min="13" max="13" width="3" customWidth="1"/>
    <col min="14" max="14" width="13.140625" customWidth="1"/>
    <col min="15" max="15" width="18.7109375" customWidth="1"/>
    <col min="16" max="16" width="3" customWidth="1"/>
    <col min="17" max="17" width="13.140625" customWidth="1"/>
    <col min="18" max="18" width="15.5703125" customWidth="1"/>
    <col min="19" max="19" width="3" customWidth="1"/>
    <col min="20" max="20" width="18.7109375" customWidth="1"/>
    <col min="21" max="21" width="15.5703125" customWidth="1"/>
    <col min="22" max="22" width="15.85546875" customWidth="1"/>
    <col min="23" max="23" width="26.28515625" customWidth="1"/>
  </cols>
  <sheetData>
    <row r="1" spans="1:23" ht="18" x14ac:dyDescent="0.25">
      <c r="A1" s="11"/>
    </row>
    <row r="2" spans="1:23" x14ac:dyDescent="0.25">
      <c r="A2" s="12" t="s">
        <v>550</v>
      </c>
      <c r="D2" s="12" t="s">
        <v>551</v>
      </c>
      <c r="G2" s="12" t="s">
        <v>11</v>
      </c>
      <c r="J2" s="12" t="s">
        <v>552</v>
      </c>
      <c r="N2" s="12" t="s">
        <v>10</v>
      </c>
      <c r="Q2" s="12" t="s">
        <v>539</v>
      </c>
      <c r="T2" s="12" t="s">
        <v>553</v>
      </c>
    </row>
    <row r="3" spans="1:23" x14ac:dyDescent="0.25">
      <c r="A3" s="5" t="s">
        <v>520</v>
      </c>
      <c r="B3" t="s">
        <v>554</v>
      </c>
      <c r="D3" s="5" t="s">
        <v>520</v>
      </c>
      <c r="E3" t="s">
        <v>523</v>
      </c>
      <c r="G3" s="5" t="s">
        <v>520</v>
      </c>
      <c r="H3" t="s">
        <v>523</v>
      </c>
      <c r="K3" s="5" t="s">
        <v>563</v>
      </c>
      <c r="N3" s="5" t="s">
        <v>520</v>
      </c>
      <c r="O3" t="s">
        <v>523</v>
      </c>
      <c r="Q3" s="5" t="s">
        <v>520</v>
      </c>
      <c r="R3" t="s">
        <v>554</v>
      </c>
      <c r="T3" s="5" t="s">
        <v>563</v>
      </c>
    </row>
    <row r="4" spans="1:23" x14ac:dyDescent="0.25">
      <c r="A4" s="6" t="s">
        <v>40</v>
      </c>
      <c r="B4" s="3">
        <v>1122900</v>
      </c>
      <c r="D4" s="6" t="s">
        <v>42</v>
      </c>
      <c r="E4" s="9">
        <v>56</v>
      </c>
      <c r="G4" s="6" t="s">
        <v>31</v>
      </c>
      <c r="H4" s="9">
        <v>153</v>
      </c>
      <c r="J4" s="5" t="s">
        <v>520</v>
      </c>
      <c r="K4" t="s">
        <v>554</v>
      </c>
      <c r="L4" t="s">
        <v>523</v>
      </c>
      <c r="N4" s="6" t="s">
        <v>21</v>
      </c>
      <c r="O4" s="9">
        <v>58</v>
      </c>
      <c r="Q4" s="6" t="s">
        <v>32</v>
      </c>
      <c r="R4" s="3">
        <v>1451400</v>
      </c>
      <c r="T4" t="s">
        <v>523</v>
      </c>
      <c r="U4" t="s">
        <v>554</v>
      </c>
      <c r="V4" t="s">
        <v>541</v>
      </c>
      <c r="W4" t="s">
        <v>542</v>
      </c>
    </row>
    <row r="5" spans="1:23" x14ac:dyDescent="0.25">
      <c r="A5" s="6" t="s">
        <v>78</v>
      </c>
      <c r="B5" s="3">
        <v>838300</v>
      </c>
      <c r="D5" s="6" t="s">
        <v>36</v>
      </c>
      <c r="E5" s="9">
        <v>48</v>
      </c>
      <c r="G5" s="6" t="s">
        <v>22</v>
      </c>
      <c r="H5" s="9">
        <v>38</v>
      </c>
      <c r="J5" s="6" t="s">
        <v>524</v>
      </c>
      <c r="K5" s="3">
        <v>698800</v>
      </c>
      <c r="L5" s="9">
        <v>23</v>
      </c>
      <c r="N5" s="6" t="s">
        <v>63</v>
      </c>
      <c r="O5" s="9">
        <v>46</v>
      </c>
      <c r="Q5" s="6" t="s">
        <v>23</v>
      </c>
      <c r="R5" s="3">
        <v>1166700</v>
      </c>
      <c r="T5" s="9">
        <v>191</v>
      </c>
      <c r="U5" s="3">
        <v>6232300</v>
      </c>
      <c r="V5" s="9">
        <v>669</v>
      </c>
      <c r="W5" s="3">
        <v>32629.842931937172</v>
      </c>
    </row>
    <row r="6" spans="1:23" x14ac:dyDescent="0.25">
      <c r="A6" s="6" t="s">
        <v>59</v>
      </c>
      <c r="B6" s="3">
        <v>731800</v>
      </c>
      <c r="D6" s="6" t="s">
        <v>29</v>
      </c>
      <c r="E6" s="9">
        <v>45</v>
      </c>
      <c r="G6" s="6" t="s">
        <v>521</v>
      </c>
      <c r="H6" s="9">
        <v>191</v>
      </c>
      <c r="J6" s="6" t="s">
        <v>525</v>
      </c>
      <c r="K6" s="3">
        <v>595800</v>
      </c>
      <c r="L6" s="9">
        <v>22</v>
      </c>
      <c r="N6" s="6" t="s">
        <v>30</v>
      </c>
      <c r="O6" s="9">
        <v>45</v>
      </c>
      <c r="Q6" s="6" t="s">
        <v>43</v>
      </c>
      <c r="R6" s="3">
        <v>1056500</v>
      </c>
    </row>
    <row r="7" spans="1:23" x14ac:dyDescent="0.25">
      <c r="A7" s="6" t="s">
        <v>46</v>
      </c>
      <c r="B7" s="3">
        <v>648700</v>
      </c>
      <c r="D7" s="6" t="s">
        <v>20</v>
      </c>
      <c r="E7" s="9">
        <v>35</v>
      </c>
      <c r="J7" s="6" t="s">
        <v>526</v>
      </c>
      <c r="K7" s="3">
        <v>1189900</v>
      </c>
      <c r="L7" s="9">
        <v>33</v>
      </c>
      <c r="N7" s="6" t="s">
        <v>68</v>
      </c>
      <c r="O7" s="9">
        <v>42</v>
      </c>
      <c r="Q7" s="6" t="s">
        <v>64</v>
      </c>
      <c r="R7" s="3">
        <v>1001900</v>
      </c>
      <c r="T7" s="12" t="s">
        <v>555</v>
      </c>
    </row>
    <row r="8" spans="1:23" x14ac:dyDescent="0.25">
      <c r="A8" s="6" t="s">
        <v>92</v>
      </c>
      <c r="B8" s="3">
        <v>618700</v>
      </c>
      <c r="D8" s="6" t="s">
        <v>48</v>
      </c>
      <c r="E8" s="9">
        <v>7</v>
      </c>
      <c r="J8" s="6" t="s">
        <v>527</v>
      </c>
      <c r="K8" s="3">
        <v>815200</v>
      </c>
      <c r="L8" s="9">
        <v>23</v>
      </c>
      <c r="N8" s="6" t="s">
        <v>521</v>
      </c>
      <c r="O8" s="9">
        <v>191</v>
      </c>
      <c r="Q8" s="6" t="s">
        <v>37</v>
      </c>
      <c r="R8" s="3">
        <v>891200</v>
      </c>
      <c r="T8" t="s">
        <v>556</v>
      </c>
      <c r="U8" s="13">
        <f>IFERROR(GETPIVOTDATA("Count of Booking ID",$T$3),0)</f>
        <v>191</v>
      </c>
    </row>
    <row r="9" spans="1:23" x14ac:dyDescent="0.25">
      <c r="A9" s="6" t="s">
        <v>18</v>
      </c>
      <c r="B9" s="3">
        <v>612900</v>
      </c>
      <c r="D9" s="6" t="s">
        <v>521</v>
      </c>
      <c r="E9" s="9">
        <v>191</v>
      </c>
      <c r="J9" s="6" t="s">
        <v>528</v>
      </c>
      <c r="K9" s="3">
        <v>567500</v>
      </c>
      <c r="L9" s="9">
        <v>19</v>
      </c>
      <c r="Q9" s="6" t="s">
        <v>57</v>
      </c>
      <c r="R9" s="3">
        <v>664600</v>
      </c>
      <c r="T9" t="s">
        <v>557</v>
      </c>
      <c r="U9" s="14">
        <f>IFERROR(GETPIVOTDATA("Sum of Revenue",$T$3),0)</f>
        <v>6232300</v>
      </c>
    </row>
    <row r="10" spans="1:23" x14ac:dyDescent="0.25">
      <c r="A10" s="6" t="s">
        <v>99</v>
      </c>
      <c r="B10" s="3">
        <v>504400</v>
      </c>
      <c r="J10" s="6" t="s">
        <v>529</v>
      </c>
      <c r="K10" s="3">
        <v>627300</v>
      </c>
      <c r="L10" s="9">
        <v>23</v>
      </c>
      <c r="Q10" s="6" t="s">
        <v>521</v>
      </c>
      <c r="R10" s="3">
        <v>6232300</v>
      </c>
      <c r="T10" t="s">
        <v>558</v>
      </c>
      <c r="U10" s="13">
        <f>IFERROR(GETPIVOTDATA("Sum of Travelers",$T$3),0)</f>
        <v>669</v>
      </c>
    </row>
    <row r="11" spans="1:23" x14ac:dyDescent="0.25">
      <c r="A11" s="6" t="s">
        <v>122</v>
      </c>
      <c r="B11" s="3">
        <v>500600</v>
      </c>
      <c r="J11" s="6" t="s">
        <v>530</v>
      </c>
      <c r="K11" s="3">
        <v>710000</v>
      </c>
      <c r="L11" s="9">
        <v>20</v>
      </c>
      <c r="T11" t="s">
        <v>559</v>
      </c>
      <c r="U11" s="14">
        <f>IFERROR(GETPIVOTDATA("Average of Booking Amount",$T$3),0)</f>
        <v>32629.842931937172</v>
      </c>
    </row>
    <row r="12" spans="1:23" x14ac:dyDescent="0.25">
      <c r="A12" s="6" t="s">
        <v>27</v>
      </c>
      <c r="B12" s="3">
        <v>436400</v>
      </c>
      <c r="J12" s="6" t="s">
        <v>531</v>
      </c>
      <c r="K12" s="3">
        <v>1027800</v>
      </c>
      <c r="L12" s="9">
        <v>28</v>
      </c>
      <c r="T12" t="s">
        <v>560</v>
      </c>
      <c r="U12" s="13">
        <f>IFERROR(GETPIVOTDATA("Count of Booking ID",$G$3,"Booking Status","Confirmed"),0)</f>
        <v>153</v>
      </c>
    </row>
    <row r="13" spans="1:23" x14ac:dyDescent="0.25">
      <c r="A13" s="6" t="s">
        <v>142</v>
      </c>
      <c r="B13" s="3">
        <v>217600</v>
      </c>
      <c r="J13" s="6" t="s">
        <v>521</v>
      </c>
      <c r="K13" s="3">
        <v>6232300</v>
      </c>
      <c r="L13" s="9">
        <v>191</v>
      </c>
      <c r="T13" t="s">
        <v>561</v>
      </c>
      <c r="U13" s="13">
        <f>IFERROR(GETPIVOTDATA("Count of Booking ID",$G$3),0)</f>
        <v>191</v>
      </c>
    </row>
    <row r="14" spans="1:23" x14ac:dyDescent="0.25">
      <c r="A14" s="6" t="s">
        <v>521</v>
      </c>
      <c r="B14" s="3">
        <v>6232300</v>
      </c>
      <c r="T14" t="s">
        <v>562</v>
      </c>
      <c r="U14" s="13">
        <f>IFERROR(GETPIVOTDATA("Count of Booking ID",$N$3),0)</f>
        <v>191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A8" sqref="A8"/>
    </sheetView>
  </sheetViews>
  <sheetFormatPr defaultRowHeight="15" x14ac:dyDescent="0.25"/>
  <cols>
    <col min="1" max="1" width="13.140625" bestFit="1" customWidth="1"/>
    <col min="2" max="2" width="22.7109375" bestFit="1" customWidth="1"/>
  </cols>
  <sheetData>
    <row r="3" spans="1:2" x14ac:dyDescent="0.25">
      <c r="A3" s="5" t="s">
        <v>520</v>
      </c>
      <c r="B3" t="s">
        <v>522</v>
      </c>
    </row>
    <row r="4" spans="1:2" x14ac:dyDescent="0.25">
      <c r="A4" s="6" t="s">
        <v>40</v>
      </c>
      <c r="B4" s="3">
        <v>1526100</v>
      </c>
    </row>
    <row r="5" spans="1:2" x14ac:dyDescent="0.25">
      <c r="A5" s="6" t="s">
        <v>92</v>
      </c>
      <c r="B5" s="3">
        <v>1361200</v>
      </c>
    </row>
    <row r="6" spans="1:2" x14ac:dyDescent="0.25">
      <c r="A6" s="6" t="s">
        <v>78</v>
      </c>
      <c r="B6" s="3">
        <v>1153900</v>
      </c>
    </row>
    <row r="7" spans="1:2" x14ac:dyDescent="0.25">
      <c r="A7" s="6" t="s">
        <v>46</v>
      </c>
      <c r="B7" s="3">
        <v>1017200</v>
      </c>
    </row>
    <row r="8" spans="1:2" x14ac:dyDescent="0.25">
      <c r="A8" s="6" t="s">
        <v>18</v>
      </c>
      <c r="B8" s="3">
        <v>995800</v>
      </c>
    </row>
    <row r="9" spans="1:2" x14ac:dyDescent="0.25">
      <c r="A9" s="6" t="s">
        <v>59</v>
      </c>
      <c r="B9" s="3">
        <v>923300</v>
      </c>
    </row>
    <row r="10" spans="1:2" x14ac:dyDescent="0.25">
      <c r="A10" s="6" t="s">
        <v>99</v>
      </c>
      <c r="B10" s="3">
        <v>815100</v>
      </c>
    </row>
    <row r="11" spans="1:2" x14ac:dyDescent="0.25">
      <c r="A11" s="6" t="s">
        <v>27</v>
      </c>
      <c r="B11" s="3">
        <v>752100</v>
      </c>
    </row>
    <row r="12" spans="1:2" x14ac:dyDescent="0.25">
      <c r="A12" s="6" t="s">
        <v>122</v>
      </c>
      <c r="B12" s="3">
        <v>651300</v>
      </c>
    </row>
    <row r="13" spans="1:2" x14ac:dyDescent="0.25">
      <c r="A13" s="6" t="s">
        <v>142</v>
      </c>
      <c r="B13" s="3">
        <v>494700</v>
      </c>
    </row>
    <row r="14" spans="1:2" x14ac:dyDescent="0.25">
      <c r="A14" s="6" t="s">
        <v>521</v>
      </c>
      <c r="B14" s="3">
        <v>9690700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3" sqref="B3"/>
    </sheetView>
  </sheetViews>
  <sheetFormatPr defaultRowHeight="15" x14ac:dyDescent="0.25"/>
  <cols>
    <col min="1" max="1" width="13.140625" bestFit="1" customWidth="1"/>
    <col min="2" max="2" width="18.7109375" bestFit="1" customWidth="1"/>
  </cols>
  <sheetData>
    <row r="3" spans="1:2" x14ac:dyDescent="0.25">
      <c r="A3" s="5" t="s">
        <v>520</v>
      </c>
      <c r="B3" t="s">
        <v>523</v>
      </c>
    </row>
    <row r="4" spans="1:2" x14ac:dyDescent="0.25">
      <c r="A4" s="6" t="s">
        <v>36</v>
      </c>
      <c r="B4" s="9">
        <v>79</v>
      </c>
    </row>
    <row r="5" spans="1:2" x14ac:dyDescent="0.25">
      <c r="A5" s="6" t="s">
        <v>42</v>
      </c>
      <c r="B5" s="9">
        <v>79</v>
      </c>
    </row>
    <row r="6" spans="1:2" x14ac:dyDescent="0.25">
      <c r="A6" s="6" t="s">
        <v>48</v>
      </c>
      <c r="B6" s="9">
        <v>15</v>
      </c>
    </row>
    <row r="7" spans="1:2" x14ac:dyDescent="0.25">
      <c r="A7" s="6" t="s">
        <v>29</v>
      </c>
      <c r="B7" s="9">
        <v>70</v>
      </c>
    </row>
    <row r="8" spans="1:2" x14ac:dyDescent="0.25">
      <c r="A8" s="6" t="s">
        <v>20</v>
      </c>
      <c r="B8" s="9">
        <v>57</v>
      </c>
    </row>
    <row r="9" spans="1:2" x14ac:dyDescent="0.25">
      <c r="A9" s="6" t="s">
        <v>521</v>
      </c>
      <c r="B9" s="9">
        <v>300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G27" sqref="G27"/>
    </sheetView>
  </sheetViews>
  <sheetFormatPr defaultRowHeight="15" x14ac:dyDescent="0.25"/>
  <cols>
    <col min="1" max="1" width="13.140625" bestFit="1" customWidth="1"/>
    <col min="2" max="2" width="18.7109375" bestFit="1" customWidth="1"/>
  </cols>
  <sheetData>
    <row r="3" spans="1:2" x14ac:dyDescent="0.25">
      <c r="A3" s="5" t="s">
        <v>520</v>
      </c>
      <c r="B3" t="s">
        <v>523</v>
      </c>
    </row>
    <row r="4" spans="1:2" x14ac:dyDescent="0.25">
      <c r="A4" s="6" t="s">
        <v>22</v>
      </c>
      <c r="B4" s="9">
        <v>61</v>
      </c>
    </row>
    <row r="5" spans="1:2" x14ac:dyDescent="0.25">
      <c r="A5" s="6" t="s">
        <v>31</v>
      </c>
      <c r="B5" s="9">
        <v>239</v>
      </c>
    </row>
    <row r="6" spans="1:2" x14ac:dyDescent="0.25">
      <c r="A6" s="6" t="s">
        <v>521</v>
      </c>
      <c r="B6" s="9">
        <v>300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election activeCell="F5" sqref="F5"/>
    </sheetView>
  </sheetViews>
  <sheetFormatPr defaultRowHeight="15" x14ac:dyDescent="0.25"/>
  <cols>
    <col min="1" max="1" width="13.140625" bestFit="1" customWidth="1"/>
    <col min="2" max="2" width="22.7109375" bestFit="1" customWidth="1"/>
    <col min="3" max="3" width="18.7109375" bestFit="1" customWidth="1"/>
  </cols>
  <sheetData>
    <row r="1" spans="1:3" ht="21" x14ac:dyDescent="0.35">
      <c r="A1" s="15" t="s">
        <v>537</v>
      </c>
      <c r="B1" s="16"/>
    </row>
    <row r="3" spans="1:3" x14ac:dyDescent="0.25">
      <c r="A3" s="5" t="s">
        <v>520</v>
      </c>
      <c r="B3" t="s">
        <v>522</v>
      </c>
      <c r="C3" t="s">
        <v>523</v>
      </c>
    </row>
    <row r="4" spans="1:3" x14ac:dyDescent="0.25">
      <c r="A4" s="6" t="s">
        <v>536</v>
      </c>
      <c r="B4" s="3">
        <v>9690700</v>
      </c>
      <c r="C4" s="9">
        <v>300</v>
      </c>
    </row>
    <row r="5" spans="1:3" x14ac:dyDescent="0.25">
      <c r="A5" s="7" t="s">
        <v>524</v>
      </c>
      <c r="B5" s="3">
        <v>698800</v>
      </c>
      <c r="C5" s="9">
        <v>23</v>
      </c>
    </row>
    <row r="6" spans="1:3" x14ac:dyDescent="0.25">
      <c r="A6" s="7" t="s">
        <v>525</v>
      </c>
      <c r="B6" s="3">
        <v>595800</v>
      </c>
      <c r="C6" s="9">
        <v>22</v>
      </c>
    </row>
    <row r="7" spans="1:3" x14ac:dyDescent="0.25">
      <c r="A7" s="7" t="s">
        <v>526</v>
      </c>
      <c r="B7" s="3">
        <v>1189900</v>
      </c>
      <c r="C7" s="9">
        <v>33</v>
      </c>
    </row>
    <row r="8" spans="1:3" x14ac:dyDescent="0.25">
      <c r="A8" s="7" t="s">
        <v>527</v>
      </c>
      <c r="B8" s="3">
        <v>815200</v>
      </c>
      <c r="C8" s="9">
        <v>23</v>
      </c>
    </row>
    <row r="9" spans="1:3" x14ac:dyDescent="0.25">
      <c r="A9" s="7" t="s">
        <v>528</v>
      </c>
      <c r="B9" s="3">
        <v>567500</v>
      </c>
      <c r="C9" s="9">
        <v>19</v>
      </c>
    </row>
    <row r="10" spans="1:3" x14ac:dyDescent="0.25">
      <c r="A10" s="7" t="s">
        <v>529</v>
      </c>
      <c r="B10" s="3">
        <v>627300</v>
      </c>
      <c r="C10" s="9">
        <v>23</v>
      </c>
    </row>
    <row r="11" spans="1:3" x14ac:dyDescent="0.25">
      <c r="A11" s="7" t="s">
        <v>530</v>
      </c>
      <c r="B11" s="3">
        <v>710000</v>
      </c>
      <c r="C11" s="9">
        <v>20</v>
      </c>
    </row>
    <row r="12" spans="1:3" x14ac:dyDescent="0.25">
      <c r="A12" s="7" t="s">
        <v>531</v>
      </c>
      <c r="B12" s="3">
        <v>1027800</v>
      </c>
      <c r="C12" s="9">
        <v>28</v>
      </c>
    </row>
    <row r="13" spans="1:3" x14ac:dyDescent="0.25">
      <c r="A13" s="7" t="s">
        <v>532</v>
      </c>
      <c r="B13" s="3">
        <v>1085600</v>
      </c>
      <c r="C13" s="9">
        <v>34</v>
      </c>
    </row>
    <row r="14" spans="1:3" x14ac:dyDescent="0.25">
      <c r="A14" s="7" t="s">
        <v>533</v>
      </c>
      <c r="B14" s="3">
        <v>721100</v>
      </c>
      <c r="C14" s="9">
        <v>25</v>
      </c>
    </row>
    <row r="15" spans="1:3" x14ac:dyDescent="0.25">
      <c r="A15" s="7" t="s">
        <v>534</v>
      </c>
      <c r="B15" s="3">
        <v>868500</v>
      </c>
      <c r="C15" s="9">
        <v>28</v>
      </c>
    </row>
    <row r="16" spans="1:3" x14ac:dyDescent="0.25">
      <c r="A16" s="7" t="s">
        <v>535</v>
      </c>
      <c r="B16" s="3">
        <v>783200</v>
      </c>
      <c r="C16" s="9">
        <v>22</v>
      </c>
    </row>
    <row r="17" spans="1:3" x14ac:dyDescent="0.25">
      <c r="A17" s="6" t="s">
        <v>521</v>
      </c>
      <c r="B17" s="3">
        <v>9690700</v>
      </c>
      <c r="C17" s="9">
        <v>300</v>
      </c>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topLeftCell="A4" workbookViewId="0">
      <selection activeCell="F4" sqref="F4"/>
    </sheetView>
  </sheetViews>
  <sheetFormatPr defaultRowHeight="15" x14ac:dyDescent="0.25"/>
  <cols>
    <col min="1" max="1" width="13.140625" bestFit="1" customWidth="1"/>
    <col min="2" max="2" width="18.7109375" bestFit="1" customWidth="1"/>
  </cols>
  <sheetData>
    <row r="1" spans="1:2" ht="21" x14ac:dyDescent="0.35">
      <c r="A1" s="8" t="s">
        <v>538</v>
      </c>
    </row>
    <row r="3" spans="1:2" x14ac:dyDescent="0.25">
      <c r="A3" s="5" t="s">
        <v>520</v>
      </c>
      <c r="B3" t="s">
        <v>523</v>
      </c>
    </row>
    <row r="4" spans="1:2" x14ac:dyDescent="0.25">
      <c r="A4" s="6" t="s">
        <v>21</v>
      </c>
      <c r="B4" s="9">
        <v>77</v>
      </c>
    </row>
    <row r="5" spans="1:2" x14ac:dyDescent="0.25">
      <c r="A5" s="6" t="s">
        <v>68</v>
      </c>
      <c r="B5" s="9">
        <v>73</v>
      </c>
    </row>
    <row r="6" spans="1:2" x14ac:dyDescent="0.25">
      <c r="A6" s="6" t="s">
        <v>30</v>
      </c>
      <c r="B6" s="9">
        <v>76</v>
      </c>
    </row>
    <row r="7" spans="1:2" x14ac:dyDescent="0.25">
      <c r="A7" s="6" t="s">
        <v>63</v>
      </c>
      <c r="B7" s="9">
        <v>74</v>
      </c>
    </row>
    <row r="8" spans="1:2" x14ac:dyDescent="0.25">
      <c r="A8" s="6" t="s">
        <v>521</v>
      </c>
      <c r="B8" s="9">
        <v>300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H21" sqref="H21"/>
    </sheetView>
  </sheetViews>
  <sheetFormatPr defaultRowHeight="15" x14ac:dyDescent="0.25"/>
  <cols>
    <col min="1" max="1" width="13.140625" bestFit="1" customWidth="1"/>
    <col min="2" max="2" width="18.7109375" bestFit="1" customWidth="1"/>
    <col min="3" max="3" width="22.7109375" bestFit="1" customWidth="1"/>
  </cols>
  <sheetData>
    <row r="1" spans="1:3" ht="21" x14ac:dyDescent="0.35">
      <c r="A1" s="15" t="s">
        <v>539</v>
      </c>
      <c r="B1" s="16"/>
      <c r="C1" s="16"/>
    </row>
    <row r="3" spans="1:3" x14ac:dyDescent="0.25">
      <c r="A3" s="5" t="s">
        <v>520</v>
      </c>
      <c r="B3" t="s">
        <v>523</v>
      </c>
      <c r="C3" t="s">
        <v>522</v>
      </c>
    </row>
    <row r="4" spans="1:3" x14ac:dyDescent="0.25">
      <c r="A4" s="6" t="s">
        <v>43</v>
      </c>
      <c r="B4" s="9">
        <v>52</v>
      </c>
      <c r="C4" s="3">
        <v>1663000</v>
      </c>
    </row>
    <row r="5" spans="1:3" x14ac:dyDescent="0.25">
      <c r="A5" s="6" t="s">
        <v>23</v>
      </c>
      <c r="B5" s="9">
        <v>53</v>
      </c>
      <c r="C5" s="3">
        <v>1702600</v>
      </c>
    </row>
    <row r="6" spans="1:3" x14ac:dyDescent="0.25">
      <c r="A6" s="6" t="s">
        <v>32</v>
      </c>
      <c r="B6" s="9">
        <v>63</v>
      </c>
      <c r="C6" s="3">
        <v>2152000</v>
      </c>
    </row>
    <row r="7" spans="1:3" x14ac:dyDescent="0.25">
      <c r="A7" s="6" t="s">
        <v>37</v>
      </c>
      <c r="B7" s="9">
        <v>49</v>
      </c>
      <c r="C7" s="3">
        <v>1446500</v>
      </c>
    </row>
    <row r="8" spans="1:3" x14ac:dyDescent="0.25">
      <c r="A8" s="6" t="s">
        <v>57</v>
      </c>
      <c r="B8" s="9">
        <v>42</v>
      </c>
      <c r="C8" s="3">
        <v>1373200</v>
      </c>
    </row>
    <row r="9" spans="1:3" x14ac:dyDescent="0.25">
      <c r="A9" s="6" t="s">
        <v>64</v>
      </c>
      <c r="B9" s="9">
        <v>41</v>
      </c>
      <c r="C9" s="3">
        <v>1353400</v>
      </c>
    </row>
    <row r="10" spans="1:3" x14ac:dyDescent="0.25">
      <c r="A10" s="6" t="s">
        <v>521</v>
      </c>
      <c r="B10" s="9">
        <v>300</v>
      </c>
      <c r="C10" s="3">
        <v>9690700</v>
      </c>
    </row>
  </sheetData>
  <mergeCells count="1">
    <mergeCell ref="A1:C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3" sqref="A3"/>
    </sheetView>
  </sheetViews>
  <sheetFormatPr defaultRowHeight="15" x14ac:dyDescent="0.25"/>
  <cols>
    <col min="1" max="1" width="15.85546875" bestFit="1" customWidth="1"/>
  </cols>
  <sheetData>
    <row r="3" spans="1:1" x14ac:dyDescent="0.25">
      <c r="A3" t="s">
        <v>541</v>
      </c>
    </row>
    <row r="4" spans="1:1" x14ac:dyDescent="0.25">
      <c r="A4" s="9">
        <v>1044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F30" sqref="F30"/>
    </sheetView>
  </sheetViews>
  <sheetFormatPr defaultRowHeight="15" x14ac:dyDescent="0.25"/>
  <cols>
    <col min="1" max="1" width="26.28515625" bestFit="1" customWidth="1"/>
  </cols>
  <sheetData>
    <row r="3" spans="1:1" x14ac:dyDescent="0.25">
      <c r="A3" t="s">
        <v>542</v>
      </c>
    </row>
    <row r="4" spans="1:1" x14ac:dyDescent="0.25">
      <c r="A4" s="3">
        <v>32302.333333333332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1"/>
  <sheetViews>
    <sheetView workbookViewId="0">
      <pane ySplit="1" topLeftCell="A32" activePane="bottomLeft" state="frozen"/>
      <selection pane="bottomLeft" activeCell="I15" sqref="I15"/>
    </sheetView>
  </sheetViews>
  <sheetFormatPr defaultRowHeight="15" x14ac:dyDescent="0.25"/>
  <cols>
    <col min="1" max="1" width="14" customWidth="1"/>
    <col min="2" max="2" width="15" customWidth="1"/>
    <col min="3" max="3" width="22" customWidth="1"/>
    <col min="4" max="4" width="12" customWidth="1"/>
    <col min="5" max="5" width="10" customWidth="1"/>
    <col min="6" max="6" width="15" customWidth="1"/>
    <col min="7" max="7" width="28" customWidth="1"/>
    <col min="8" max="8" width="16" customWidth="1"/>
    <col min="9" max="9" width="12" customWidth="1"/>
    <col min="10" max="10" width="18" customWidth="1"/>
    <col min="11" max="12" width="17" customWidth="1"/>
    <col min="13" max="13" width="15" customWidth="1"/>
    <col min="14" max="14" width="20" customWidth="1"/>
    <col min="15" max="15" width="16"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s="2">
        <v>45718</v>
      </c>
      <c r="C2" t="s">
        <v>16</v>
      </c>
      <c r="D2" t="s">
        <v>17</v>
      </c>
      <c r="E2">
        <v>54</v>
      </c>
      <c r="F2" t="s">
        <v>18</v>
      </c>
      <c r="G2" t="s">
        <v>19</v>
      </c>
      <c r="H2" t="s">
        <v>20</v>
      </c>
      <c r="I2">
        <v>5</v>
      </c>
      <c r="J2" s="3">
        <v>59100</v>
      </c>
      <c r="K2" t="s">
        <v>21</v>
      </c>
      <c r="L2" t="s">
        <v>22</v>
      </c>
      <c r="M2" s="2">
        <v>45781</v>
      </c>
      <c r="N2" t="s">
        <v>23</v>
      </c>
      <c r="O2">
        <v>3</v>
      </c>
    </row>
    <row r="3" spans="1:15" x14ac:dyDescent="0.25">
      <c r="A3" t="s">
        <v>24</v>
      </c>
      <c r="B3" s="2">
        <v>45699</v>
      </c>
      <c r="C3" t="s">
        <v>25</v>
      </c>
      <c r="D3" t="s">
        <v>26</v>
      </c>
      <c r="E3">
        <v>43</v>
      </c>
      <c r="F3" t="s">
        <v>27</v>
      </c>
      <c r="G3" t="s">
        <v>28</v>
      </c>
      <c r="H3" t="s">
        <v>29</v>
      </c>
      <c r="I3">
        <v>1</v>
      </c>
      <c r="J3" s="3">
        <v>8600</v>
      </c>
      <c r="K3" t="s">
        <v>30</v>
      </c>
      <c r="L3" t="s">
        <v>31</v>
      </c>
      <c r="M3" s="2">
        <v>45751</v>
      </c>
      <c r="N3" t="s">
        <v>32</v>
      </c>
      <c r="O3">
        <v>5</v>
      </c>
    </row>
    <row r="4" spans="1:15" x14ac:dyDescent="0.25">
      <c r="A4" t="s">
        <v>33</v>
      </c>
      <c r="B4" s="2">
        <v>45920</v>
      </c>
      <c r="C4" t="s">
        <v>34</v>
      </c>
      <c r="D4" t="s">
        <v>17</v>
      </c>
      <c r="E4">
        <v>27</v>
      </c>
      <c r="F4" t="s">
        <v>27</v>
      </c>
      <c r="G4" t="s">
        <v>35</v>
      </c>
      <c r="H4" t="s">
        <v>36</v>
      </c>
      <c r="I4">
        <v>3</v>
      </c>
      <c r="J4" s="3">
        <v>19600</v>
      </c>
      <c r="K4" t="s">
        <v>30</v>
      </c>
      <c r="L4" t="s">
        <v>31</v>
      </c>
      <c r="M4" s="2">
        <v>46035</v>
      </c>
      <c r="N4" t="s">
        <v>37</v>
      </c>
      <c r="O4">
        <v>4</v>
      </c>
    </row>
    <row r="5" spans="1:15" x14ac:dyDescent="0.25">
      <c r="A5" t="s">
        <v>38</v>
      </c>
      <c r="B5" s="2">
        <v>45894</v>
      </c>
      <c r="C5" t="s">
        <v>39</v>
      </c>
      <c r="D5" t="s">
        <v>17</v>
      </c>
      <c r="E5">
        <v>50</v>
      </c>
      <c r="F5" t="s">
        <v>40</v>
      </c>
      <c r="G5" t="s">
        <v>41</v>
      </c>
      <c r="H5" t="s">
        <v>42</v>
      </c>
      <c r="I5">
        <v>4</v>
      </c>
      <c r="J5" s="3">
        <v>45000</v>
      </c>
      <c r="K5" t="s">
        <v>21</v>
      </c>
      <c r="L5" t="s">
        <v>31</v>
      </c>
      <c r="M5" s="2">
        <v>45968</v>
      </c>
      <c r="N5" t="s">
        <v>43</v>
      </c>
      <c r="O5">
        <v>5</v>
      </c>
    </row>
    <row r="6" spans="1:15" x14ac:dyDescent="0.25">
      <c r="A6" t="s">
        <v>44</v>
      </c>
      <c r="B6" s="2">
        <v>45946</v>
      </c>
      <c r="C6" t="s">
        <v>45</v>
      </c>
      <c r="D6" t="s">
        <v>26</v>
      </c>
      <c r="E6">
        <v>57</v>
      </c>
      <c r="F6" t="s">
        <v>46</v>
      </c>
      <c r="G6" t="s">
        <v>47</v>
      </c>
      <c r="H6" t="s">
        <v>48</v>
      </c>
      <c r="I6">
        <v>5</v>
      </c>
      <c r="J6" s="3">
        <v>27500</v>
      </c>
      <c r="K6" t="s">
        <v>21</v>
      </c>
      <c r="L6" t="s">
        <v>31</v>
      </c>
      <c r="M6" s="2">
        <v>45971</v>
      </c>
      <c r="N6" t="s">
        <v>32</v>
      </c>
      <c r="O6">
        <v>5</v>
      </c>
    </row>
    <row r="7" spans="1:15" x14ac:dyDescent="0.25">
      <c r="A7" t="s">
        <v>49</v>
      </c>
      <c r="B7" s="2">
        <v>45720</v>
      </c>
      <c r="C7" t="s">
        <v>50</v>
      </c>
      <c r="D7" t="s">
        <v>17</v>
      </c>
      <c r="E7">
        <v>60</v>
      </c>
      <c r="F7" t="s">
        <v>46</v>
      </c>
      <c r="G7" t="s">
        <v>51</v>
      </c>
      <c r="H7" t="s">
        <v>20</v>
      </c>
      <c r="I7">
        <v>6</v>
      </c>
      <c r="J7" s="3">
        <v>59100</v>
      </c>
      <c r="K7" t="s">
        <v>30</v>
      </c>
      <c r="L7" t="s">
        <v>22</v>
      </c>
      <c r="M7" s="2">
        <v>45829</v>
      </c>
      <c r="N7" t="s">
        <v>37</v>
      </c>
      <c r="O7">
        <v>5</v>
      </c>
    </row>
    <row r="8" spans="1:15" x14ac:dyDescent="0.25">
      <c r="A8" t="s">
        <v>52</v>
      </c>
      <c r="B8" s="2">
        <v>45903</v>
      </c>
      <c r="C8" t="s">
        <v>53</v>
      </c>
      <c r="D8" t="s">
        <v>26</v>
      </c>
      <c r="E8">
        <v>27</v>
      </c>
      <c r="F8" t="s">
        <v>40</v>
      </c>
      <c r="G8" t="s">
        <v>54</v>
      </c>
      <c r="H8" t="s">
        <v>20</v>
      </c>
      <c r="I8">
        <v>2</v>
      </c>
      <c r="J8" s="3">
        <v>24200</v>
      </c>
      <c r="K8" t="s">
        <v>21</v>
      </c>
      <c r="L8" t="s">
        <v>22</v>
      </c>
      <c r="M8" s="2">
        <v>45972</v>
      </c>
      <c r="N8" t="s">
        <v>43</v>
      </c>
      <c r="O8">
        <v>5</v>
      </c>
    </row>
    <row r="9" spans="1:15" x14ac:dyDescent="0.25">
      <c r="A9" t="s">
        <v>55</v>
      </c>
      <c r="B9" s="2">
        <v>45791</v>
      </c>
      <c r="C9" t="s">
        <v>56</v>
      </c>
      <c r="D9" t="s">
        <v>26</v>
      </c>
      <c r="E9">
        <v>36</v>
      </c>
      <c r="F9" t="s">
        <v>46</v>
      </c>
      <c r="G9" t="s">
        <v>51</v>
      </c>
      <c r="H9" t="s">
        <v>20</v>
      </c>
      <c r="I9">
        <v>5</v>
      </c>
      <c r="J9" s="3">
        <v>47200</v>
      </c>
      <c r="K9" t="s">
        <v>30</v>
      </c>
      <c r="L9" t="s">
        <v>31</v>
      </c>
      <c r="M9" s="2">
        <v>45901</v>
      </c>
      <c r="N9" t="s">
        <v>57</v>
      </c>
      <c r="O9">
        <v>4</v>
      </c>
    </row>
    <row r="10" spans="1:15" x14ac:dyDescent="0.25">
      <c r="A10" t="s">
        <v>58</v>
      </c>
      <c r="B10" s="2">
        <v>45921</v>
      </c>
      <c r="C10" t="s">
        <v>39</v>
      </c>
      <c r="D10" t="s">
        <v>17</v>
      </c>
      <c r="E10">
        <v>49</v>
      </c>
      <c r="F10" t="s">
        <v>59</v>
      </c>
      <c r="G10" t="s">
        <v>60</v>
      </c>
      <c r="H10" t="s">
        <v>42</v>
      </c>
      <c r="I10">
        <v>2</v>
      </c>
      <c r="J10" s="3">
        <v>19200</v>
      </c>
      <c r="K10" t="s">
        <v>30</v>
      </c>
      <c r="L10" t="s">
        <v>31</v>
      </c>
      <c r="M10" s="2">
        <v>45952</v>
      </c>
      <c r="N10" t="s">
        <v>37</v>
      </c>
      <c r="O10">
        <v>5</v>
      </c>
    </row>
    <row r="11" spans="1:15" x14ac:dyDescent="0.25">
      <c r="A11" t="s">
        <v>61</v>
      </c>
      <c r="B11" s="2">
        <v>45732</v>
      </c>
      <c r="C11" t="s">
        <v>62</v>
      </c>
      <c r="D11" t="s">
        <v>26</v>
      </c>
      <c r="E11">
        <v>33</v>
      </c>
      <c r="F11" t="s">
        <v>46</v>
      </c>
      <c r="G11" t="s">
        <v>47</v>
      </c>
      <c r="H11" t="s">
        <v>48</v>
      </c>
      <c r="I11">
        <v>1</v>
      </c>
      <c r="J11" s="3">
        <v>5100</v>
      </c>
      <c r="K11" t="s">
        <v>63</v>
      </c>
      <c r="L11" t="s">
        <v>22</v>
      </c>
      <c r="M11" s="2">
        <v>45744</v>
      </c>
      <c r="N11" t="s">
        <v>64</v>
      </c>
      <c r="O11">
        <v>5</v>
      </c>
    </row>
    <row r="12" spans="1:15" x14ac:dyDescent="0.25">
      <c r="A12" t="s">
        <v>65</v>
      </c>
      <c r="B12" s="2">
        <v>46000</v>
      </c>
      <c r="C12" t="s">
        <v>66</v>
      </c>
      <c r="D12" t="s">
        <v>26</v>
      </c>
      <c r="E12">
        <v>48</v>
      </c>
      <c r="F12" t="s">
        <v>18</v>
      </c>
      <c r="G12" t="s">
        <v>67</v>
      </c>
      <c r="H12" t="s">
        <v>36</v>
      </c>
      <c r="I12">
        <v>1</v>
      </c>
      <c r="J12" s="3">
        <v>8300</v>
      </c>
      <c r="K12" t="s">
        <v>68</v>
      </c>
      <c r="L12" t="s">
        <v>22</v>
      </c>
      <c r="M12" s="2">
        <v>46119</v>
      </c>
      <c r="N12" t="s">
        <v>37</v>
      </c>
      <c r="O12">
        <v>5</v>
      </c>
    </row>
    <row r="13" spans="1:15" x14ac:dyDescent="0.25">
      <c r="A13" t="s">
        <v>69</v>
      </c>
      <c r="B13" s="2">
        <v>45701</v>
      </c>
      <c r="C13" t="s">
        <v>70</v>
      </c>
      <c r="D13" t="s">
        <v>17</v>
      </c>
      <c r="E13">
        <v>42</v>
      </c>
      <c r="F13" t="s">
        <v>40</v>
      </c>
      <c r="G13" t="s">
        <v>71</v>
      </c>
      <c r="H13" t="s">
        <v>36</v>
      </c>
      <c r="I13">
        <v>2</v>
      </c>
      <c r="J13" s="3">
        <v>23700</v>
      </c>
      <c r="K13" t="s">
        <v>68</v>
      </c>
      <c r="L13" t="s">
        <v>22</v>
      </c>
      <c r="M13" s="2">
        <v>45811</v>
      </c>
      <c r="N13" t="s">
        <v>23</v>
      </c>
      <c r="O13">
        <v>4</v>
      </c>
    </row>
    <row r="14" spans="1:15" x14ac:dyDescent="0.25">
      <c r="A14" t="s">
        <v>72</v>
      </c>
      <c r="B14" s="2">
        <v>45712</v>
      </c>
      <c r="C14" t="s">
        <v>73</v>
      </c>
      <c r="D14" t="s">
        <v>26</v>
      </c>
      <c r="E14">
        <v>50</v>
      </c>
      <c r="F14" t="s">
        <v>40</v>
      </c>
      <c r="G14" t="s">
        <v>41</v>
      </c>
      <c r="H14" t="s">
        <v>42</v>
      </c>
      <c r="I14">
        <v>1</v>
      </c>
      <c r="J14" s="3">
        <v>11100</v>
      </c>
      <c r="K14" t="s">
        <v>21</v>
      </c>
      <c r="L14" t="s">
        <v>31</v>
      </c>
      <c r="M14" s="2">
        <v>45806</v>
      </c>
      <c r="N14" t="s">
        <v>43</v>
      </c>
      <c r="O14">
        <v>4</v>
      </c>
    </row>
    <row r="15" spans="1:15" x14ac:dyDescent="0.25">
      <c r="A15" t="s">
        <v>74</v>
      </c>
      <c r="B15" s="2">
        <v>45720</v>
      </c>
      <c r="C15" t="s">
        <v>75</v>
      </c>
      <c r="D15" t="s">
        <v>26</v>
      </c>
      <c r="E15">
        <v>45</v>
      </c>
      <c r="F15" t="s">
        <v>46</v>
      </c>
      <c r="G15" t="s">
        <v>51</v>
      </c>
      <c r="H15" t="s">
        <v>20</v>
      </c>
      <c r="I15">
        <v>5</v>
      </c>
      <c r="J15" s="3">
        <v>45300</v>
      </c>
      <c r="K15" t="s">
        <v>30</v>
      </c>
      <c r="L15" t="s">
        <v>31</v>
      </c>
      <c r="M15" s="2">
        <v>45803</v>
      </c>
      <c r="N15" t="s">
        <v>23</v>
      </c>
      <c r="O15">
        <v>5</v>
      </c>
    </row>
    <row r="16" spans="1:15" x14ac:dyDescent="0.25">
      <c r="A16" t="s">
        <v>76</v>
      </c>
      <c r="B16" s="2">
        <v>45693</v>
      </c>
      <c r="C16" t="s">
        <v>77</v>
      </c>
      <c r="D16" t="s">
        <v>26</v>
      </c>
      <c r="E16">
        <v>46</v>
      </c>
      <c r="F16" t="s">
        <v>78</v>
      </c>
      <c r="G16" t="s">
        <v>79</v>
      </c>
      <c r="H16" t="s">
        <v>29</v>
      </c>
      <c r="I16">
        <v>1</v>
      </c>
      <c r="J16" s="3">
        <v>8900</v>
      </c>
      <c r="K16" t="s">
        <v>68</v>
      </c>
      <c r="L16" t="s">
        <v>31</v>
      </c>
      <c r="M16" s="2">
        <v>45791</v>
      </c>
      <c r="N16" t="s">
        <v>37</v>
      </c>
      <c r="O16">
        <v>5</v>
      </c>
    </row>
    <row r="17" spans="1:15" x14ac:dyDescent="0.25">
      <c r="A17" t="s">
        <v>80</v>
      </c>
      <c r="B17" s="2">
        <v>45724</v>
      </c>
      <c r="C17" t="s">
        <v>81</v>
      </c>
      <c r="D17" t="s">
        <v>26</v>
      </c>
      <c r="E17">
        <v>42</v>
      </c>
      <c r="F17" t="s">
        <v>78</v>
      </c>
      <c r="G17" t="s">
        <v>82</v>
      </c>
      <c r="H17" t="s">
        <v>42</v>
      </c>
      <c r="I17">
        <v>5</v>
      </c>
      <c r="J17" s="3">
        <v>41300</v>
      </c>
      <c r="K17" t="s">
        <v>30</v>
      </c>
      <c r="L17" t="s">
        <v>31</v>
      </c>
      <c r="M17" s="2">
        <v>45799</v>
      </c>
      <c r="N17" t="s">
        <v>32</v>
      </c>
      <c r="O17">
        <v>5</v>
      </c>
    </row>
    <row r="18" spans="1:15" x14ac:dyDescent="0.25">
      <c r="A18" t="s">
        <v>83</v>
      </c>
      <c r="B18" s="2">
        <v>45854</v>
      </c>
      <c r="C18" t="s">
        <v>84</v>
      </c>
      <c r="D18" t="s">
        <v>17</v>
      </c>
      <c r="E18">
        <v>36</v>
      </c>
      <c r="F18" t="s">
        <v>59</v>
      </c>
      <c r="G18" t="s">
        <v>85</v>
      </c>
      <c r="H18" t="s">
        <v>29</v>
      </c>
      <c r="I18">
        <v>3</v>
      </c>
      <c r="J18" s="3">
        <v>26600</v>
      </c>
      <c r="K18" t="s">
        <v>21</v>
      </c>
      <c r="L18" t="s">
        <v>31</v>
      </c>
      <c r="M18" s="2">
        <v>45902</v>
      </c>
      <c r="N18" t="s">
        <v>64</v>
      </c>
      <c r="O18">
        <v>4</v>
      </c>
    </row>
    <row r="19" spans="1:15" x14ac:dyDescent="0.25">
      <c r="A19" t="s">
        <v>86</v>
      </c>
      <c r="B19" s="2">
        <v>45719</v>
      </c>
      <c r="C19" t="s">
        <v>87</v>
      </c>
      <c r="D19" t="s">
        <v>26</v>
      </c>
      <c r="E19">
        <v>47</v>
      </c>
      <c r="F19" t="s">
        <v>78</v>
      </c>
      <c r="G19" t="s">
        <v>79</v>
      </c>
      <c r="H19" t="s">
        <v>29</v>
      </c>
      <c r="I19">
        <v>1</v>
      </c>
      <c r="J19" s="3">
        <v>10800</v>
      </c>
      <c r="K19" t="s">
        <v>30</v>
      </c>
      <c r="L19" t="s">
        <v>31</v>
      </c>
      <c r="M19" s="2">
        <v>45795</v>
      </c>
      <c r="N19" t="s">
        <v>37</v>
      </c>
      <c r="O19">
        <v>4</v>
      </c>
    </row>
    <row r="20" spans="1:15" x14ac:dyDescent="0.25">
      <c r="A20" t="s">
        <v>88</v>
      </c>
      <c r="B20" s="2">
        <v>45671</v>
      </c>
      <c r="C20" t="s">
        <v>89</v>
      </c>
      <c r="D20" t="s">
        <v>17</v>
      </c>
      <c r="E20">
        <v>53</v>
      </c>
      <c r="F20" t="s">
        <v>18</v>
      </c>
      <c r="G20" t="s">
        <v>67</v>
      </c>
      <c r="H20" t="s">
        <v>36</v>
      </c>
      <c r="I20">
        <v>3</v>
      </c>
      <c r="J20" s="3">
        <v>26700</v>
      </c>
      <c r="K20" t="s">
        <v>68</v>
      </c>
      <c r="L20" t="s">
        <v>22</v>
      </c>
      <c r="M20" s="2">
        <v>45715</v>
      </c>
      <c r="N20" t="s">
        <v>64</v>
      </c>
      <c r="O20">
        <v>4</v>
      </c>
    </row>
    <row r="21" spans="1:15" x14ac:dyDescent="0.25">
      <c r="A21" t="s">
        <v>90</v>
      </c>
      <c r="B21" s="2">
        <v>45942</v>
      </c>
      <c r="C21" t="s">
        <v>91</v>
      </c>
      <c r="D21" t="s">
        <v>26</v>
      </c>
      <c r="E21">
        <v>21</v>
      </c>
      <c r="F21" t="s">
        <v>92</v>
      </c>
      <c r="G21" t="s">
        <v>93</v>
      </c>
      <c r="H21" t="s">
        <v>20</v>
      </c>
      <c r="I21">
        <v>3</v>
      </c>
      <c r="J21" s="3">
        <v>32700</v>
      </c>
      <c r="K21" t="s">
        <v>30</v>
      </c>
      <c r="L21" t="s">
        <v>31</v>
      </c>
      <c r="M21" s="2">
        <v>46031</v>
      </c>
      <c r="N21" t="s">
        <v>37</v>
      </c>
      <c r="O21">
        <v>4</v>
      </c>
    </row>
    <row r="22" spans="1:15" x14ac:dyDescent="0.25">
      <c r="A22" t="s">
        <v>94</v>
      </c>
      <c r="B22" s="2">
        <v>45818</v>
      </c>
      <c r="C22" t="s">
        <v>95</v>
      </c>
      <c r="D22" t="s">
        <v>17</v>
      </c>
      <c r="E22">
        <v>34</v>
      </c>
      <c r="F22" t="s">
        <v>59</v>
      </c>
      <c r="G22" t="s">
        <v>96</v>
      </c>
      <c r="H22" t="s">
        <v>36</v>
      </c>
      <c r="I22">
        <v>1</v>
      </c>
      <c r="J22" s="3">
        <v>8700</v>
      </c>
      <c r="K22" t="s">
        <v>63</v>
      </c>
      <c r="L22" t="s">
        <v>31</v>
      </c>
      <c r="M22" s="2">
        <v>45877</v>
      </c>
      <c r="N22" t="s">
        <v>43</v>
      </c>
      <c r="O22">
        <v>4</v>
      </c>
    </row>
    <row r="23" spans="1:15" x14ac:dyDescent="0.25">
      <c r="A23" t="s">
        <v>97</v>
      </c>
      <c r="B23" s="2">
        <v>45665</v>
      </c>
      <c r="C23" t="s">
        <v>98</v>
      </c>
      <c r="D23" t="s">
        <v>17</v>
      </c>
      <c r="E23">
        <v>38</v>
      </c>
      <c r="F23" t="s">
        <v>99</v>
      </c>
      <c r="G23" t="s">
        <v>100</v>
      </c>
      <c r="H23" t="s">
        <v>42</v>
      </c>
      <c r="I23">
        <v>2</v>
      </c>
      <c r="J23" s="3">
        <v>11500</v>
      </c>
      <c r="K23" t="s">
        <v>21</v>
      </c>
      <c r="L23" t="s">
        <v>22</v>
      </c>
      <c r="M23" s="2">
        <v>45752</v>
      </c>
      <c r="N23" t="s">
        <v>37</v>
      </c>
      <c r="O23">
        <v>5</v>
      </c>
    </row>
    <row r="24" spans="1:15" x14ac:dyDescent="0.25">
      <c r="A24" t="s">
        <v>101</v>
      </c>
      <c r="B24" s="2">
        <v>45677</v>
      </c>
      <c r="C24" t="s">
        <v>102</v>
      </c>
      <c r="D24" t="s">
        <v>26</v>
      </c>
      <c r="E24">
        <v>41</v>
      </c>
      <c r="F24" t="s">
        <v>40</v>
      </c>
      <c r="G24" t="s">
        <v>54</v>
      </c>
      <c r="H24" t="s">
        <v>20</v>
      </c>
      <c r="I24">
        <v>5</v>
      </c>
      <c r="J24" s="3">
        <v>59000</v>
      </c>
      <c r="K24" t="s">
        <v>30</v>
      </c>
      <c r="L24" t="s">
        <v>31</v>
      </c>
      <c r="M24" s="2">
        <v>45721</v>
      </c>
      <c r="N24" t="s">
        <v>43</v>
      </c>
      <c r="O24">
        <v>3</v>
      </c>
    </row>
    <row r="25" spans="1:15" x14ac:dyDescent="0.25">
      <c r="A25" t="s">
        <v>103</v>
      </c>
      <c r="B25" s="2">
        <v>45881</v>
      </c>
      <c r="C25" t="s">
        <v>104</v>
      </c>
      <c r="D25" t="s">
        <v>17</v>
      </c>
      <c r="E25">
        <v>38</v>
      </c>
      <c r="F25" t="s">
        <v>99</v>
      </c>
      <c r="G25" t="s">
        <v>105</v>
      </c>
      <c r="H25" t="s">
        <v>29</v>
      </c>
      <c r="I25">
        <v>6</v>
      </c>
      <c r="J25" s="3">
        <v>52900</v>
      </c>
      <c r="K25" t="s">
        <v>63</v>
      </c>
      <c r="L25" t="s">
        <v>22</v>
      </c>
      <c r="M25" s="2">
        <v>45931</v>
      </c>
      <c r="N25" t="s">
        <v>23</v>
      </c>
      <c r="O25">
        <v>5</v>
      </c>
    </row>
    <row r="26" spans="1:15" x14ac:dyDescent="0.25">
      <c r="A26" t="s">
        <v>106</v>
      </c>
      <c r="B26" s="2">
        <v>45715</v>
      </c>
      <c r="C26" t="s">
        <v>107</v>
      </c>
      <c r="D26" t="s">
        <v>17</v>
      </c>
      <c r="E26">
        <v>56</v>
      </c>
      <c r="F26" t="s">
        <v>92</v>
      </c>
      <c r="G26" t="s">
        <v>108</v>
      </c>
      <c r="H26" t="s">
        <v>36</v>
      </c>
      <c r="I26">
        <v>1</v>
      </c>
      <c r="J26" s="3">
        <v>10500</v>
      </c>
      <c r="K26" t="s">
        <v>30</v>
      </c>
      <c r="L26" t="s">
        <v>31</v>
      </c>
      <c r="M26" s="2">
        <v>45776</v>
      </c>
      <c r="N26" t="s">
        <v>64</v>
      </c>
      <c r="O26">
        <v>4</v>
      </c>
    </row>
    <row r="27" spans="1:15" x14ac:dyDescent="0.25">
      <c r="A27" t="s">
        <v>109</v>
      </c>
      <c r="B27" s="2">
        <v>45870</v>
      </c>
      <c r="C27" t="s">
        <v>110</v>
      </c>
      <c r="D27" t="s">
        <v>26</v>
      </c>
      <c r="E27">
        <v>52</v>
      </c>
      <c r="F27" t="s">
        <v>40</v>
      </c>
      <c r="G27" t="s">
        <v>54</v>
      </c>
      <c r="H27" t="s">
        <v>20</v>
      </c>
      <c r="I27">
        <v>2</v>
      </c>
      <c r="J27" s="3">
        <v>27800</v>
      </c>
      <c r="K27" t="s">
        <v>63</v>
      </c>
      <c r="L27" t="s">
        <v>22</v>
      </c>
      <c r="M27" s="2">
        <v>45964</v>
      </c>
      <c r="N27" t="s">
        <v>64</v>
      </c>
      <c r="O27">
        <v>4</v>
      </c>
    </row>
    <row r="28" spans="1:15" x14ac:dyDescent="0.25">
      <c r="A28" t="s">
        <v>111</v>
      </c>
      <c r="B28" s="2">
        <v>45788</v>
      </c>
      <c r="C28" t="s">
        <v>56</v>
      </c>
      <c r="D28" t="s">
        <v>17</v>
      </c>
      <c r="E28">
        <v>38</v>
      </c>
      <c r="F28" t="s">
        <v>92</v>
      </c>
      <c r="G28" t="s">
        <v>93</v>
      </c>
      <c r="H28" t="s">
        <v>20</v>
      </c>
      <c r="I28">
        <v>1</v>
      </c>
      <c r="J28" s="3">
        <v>10600</v>
      </c>
      <c r="K28" t="s">
        <v>68</v>
      </c>
      <c r="L28" t="s">
        <v>22</v>
      </c>
      <c r="M28" s="2">
        <v>45806</v>
      </c>
      <c r="N28" t="s">
        <v>23</v>
      </c>
      <c r="O28">
        <v>5</v>
      </c>
    </row>
    <row r="29" spans="1:15" x14ac:dyDescent="0.25">
      <c r="A29" t="s">
        <v>112</v>
      </c>
      <c r="B29" s="2">
        <v>45990</v>
      </c>
      <c r="C29" t="s">
        <v>113</v>
      </c>
      <c r="D29" t="s">
        <v>26</v>
      </c>
      <c r="E29">
        <v>58</v>
      </c>
      <c r="F29" t="s">
        <v>78</v>
      </c>
      <c r="G29" t="s">
        <v>79</v>
      </c>
      <c r="H29" t="s">
        <v>29</v>
      </c>
      <c r="I29">
        <v>3</v>
      </c>
      <c r="J29" s="3">
        <v>30500</v>
      </c>
      <c r="K29" t="s">
        <v>68</v>
      </c>
      <c r="L29" t="s">
        <v>31</v>
      </c>
      <c r="M29" s="2">
        <v>46004</v>
      </c>
      <c r="N29" t="s">
        <v>23</v>
      </c>
      <c r="O29">
        <v>5</v>
      </c>
    </row>
    <row r="30" spans="1:15" x14ac:dyDescent="0.25">
      <c r="A30" t="s">
        <v>114</v>
      </c>
      <c r="B30" s="2">
        <v>45735</v>
      </c>
      <c r="C30" t="s">
        <v>115</v>
      </c>
      <c r="D30" t="s">
        <v>17</v>
      </c>
      <c r="E30">
        <v>39</v>
      </c>
      <c r="F30" t="s">
        <v>40</v>
      </c>
      <c r="G30" t="s">
        <v>71</v>
      </c>
      <c r="H30" t="s">
        <v>36</v>
      </c>
      <c r="I30">
        <v>3</v>
      </c>
      <c r="J30" s="3">
        <v>35700</v>
      </c>
      <c r="K30" t="s">
        <v>68</v>
      </c>
      <c r="L30" t="s">
        <v>31</v>
      </c>
      <c r="M30" s="2">
        <v>45787</v>
      </c>
      <c r="N30" t="s">
        <v>32</v>
      </c>
      <c r="O30">
        <v>5</v>
      </c>
    </row>
    <row r="31" spans="1:15" x14ac:dyDescent="0.25">
      <c r="A31" t="s">
        <v>116</v>
      </c>
      <c r="B31" s="2">
        <v>45938</v>
      </c>
      <c r="C31" t="s">
        <v>91</v>
      </c>
      <c r="D31" t="s">
        <v>17</v>
      </c>
      <c r="E31">
        <v>18</v>
      </c>
      <c r="F31" t="s">
        <v>46</v>
      </c>
      <c r="G31" t="s">
        <v>51</v>
      </c>
      <c r="H31" t="s">
        <v>20</v>
      </c>
      <c r="I31">
        <v>2</v>
      </c>
      <c r="J31" s="3">
        <v>15800</v>
      </c>
      <c r="K31" t="s">
        <v>30</v>
      </c>
      <c r="L31" t="s">
        <v>22</v>
      </c>
      <c r="M31" s="2">
        <v>46034</v>
      </c>
      <c r="N31" t="s">
        <v>32</v>
      </c>
      <c r="O31">
        <v>5</v>
      </c>
    </row>
    <row r="32" spans="1:15" x14ac:dyDescent="0.25">
      <c r="A32" t="s">
        <v>117</v>
      </c>
      <c r="B32" s="2">
        <v>45985</v>
      </c>
      <c r="C32" t="s">
        <v>118</v>
      </c>
      <c r="D32" t="s">
        <v>26</v>
      </c>
      <c r="E32">
        <v>19</v>
      </c>
      <c r="F32" t="s">
        <v>92</v>
      </c>
      <c r="G32" t="s">
        <v>93</v>
      </c>
      <c r="H32" t="s">
        <v>20</v>
      </c>
      <c r="I32">
        <v>3</v>
      </c>
      <c r="J32" s="3">
        <v>35700</v>
      </c>
      <c r="K32" t="s">
        <v>68</v>
      </c>
      <c r="L32" t="s">
        <v>22</v>
      </c>
      <c r="M32" s="2">
        <v>46031</v>
      </c>
      <c r="N32" t="s">
        <v>64</v>
      </c>
      <c r="O32">
        <v>3</v>
      </c>
    </row>
    <row r="33" spans="1:15" x14ac:dyDescent="0.25">
      <c r="A33" t="s">
        <v>119</v>
      </c>
      <c r="B33" s="2">
        <v>45859</v>
      </c>
      <c r="C33" t="s">
        <v>120</v>
      </c>
      <c r="D33" t="s">
        <v>26</v>
      </c>
      <c r="E33">
        <v>23</v>
      </c>
      <c r="F33" t="s">
        <v>40</v>
      </c>
      <c r="G33" t="s">
        <v>71</v>
      </c>
      <c r="H33" t="s">
        <v>36</v>
      </c>
      <c r="I33">
        <v>5</v>
      </c>
      <c r="J33" s="3">
        <v>57300</v>
      </c>
      <c r="K33" t="s">
        <v>68</v>
      </c>
      <c r="L33" t="s">
        <v>31</v>
      </c>
      <c r="M33" s="2">
        <v>45908</v>
      </c>
      <c r="N33" t="s">
        <v>64</v>
      </c>
      <c r="O33">
        <v>4</v>
      </c>
    </row>
    <row r="34" spans="1:15" x14ac:dyDescent="0.25">
      <c r="A34" t="s">
        <v>121</v>
      </c>
      <c r="B34" s="2">
        <v>45679</v>
      </c>
      <c r="C34" t="s">
        <v>70</v>
      </c>
      <c r="D34" t="s">
        <v>17</v>
      </c>
      <c r="E34">
        <v>40</v>
      </c>
      <c r="F34" t="s">
        <v>122</v>
      </c>
      <c r="G34" t="s">
        <v>123</v>
      </c>
      <c r="H34" t="s">
        <v>29</v>
      </c>
      <c r="I34">
        <v>2</v>
      </c>
      <c r="J34" s="3">
        <v>23000</v>
      </c>
      <c r="K34" t="s">
        <v>68</v>
      </c>
      <c r="L34" t="s">
        <v>31</v>
      </c>
      <c r="M34" s="2">
        <v>45710</v>
      </c>
      <c r="N34" t="s">
        <v>37</v>
      </c>
      <c r="O34">
        <v>5</v>
      </c>
    </row>
    <row r="35" spans="1:15" x14ac:dyDescent="0.25">
      <c r="A35" t="s">
        <v>124</v>
      </c>
      <c r="B35" s="2">
        <v>45968</v>
      </c>
      <c r="C35" t="s">
        <v>120</v>
      </c>
      <c r="D35" t="s">
        <v>26</v>
      </c>
      <c r="E35">
        <v>29</v>
      </c>
      <c r="F35" t="s">
        <v>46</v>
      </c>
      <c r="G35" t="s">
        <v>51</v>
      </c>
      <c r="H35" t="s">
        <v>20</v>
      </c>
      <c r="I35">
        <v>3</v>
      </c>
      <c r="J35" s="3">
        <v>28700</v>
      </c>
      <c r="K35" t="s">
        <v>30</v>
      </c>
      <c r="L35" t="s">
        <v>22</v>
      </c>
      <c r="M35" s="2">
        <v>45993</v>
      </c>
      <c r="N35" t="s">
        <v>23</v>
      </c>
      <c r="O35">
        <v>3</v>
      </c>
    </row>
    <row r="36" spans="1:15" x14ac:dyDescent="0.25">
      <c r="A36" t="s">
        <v>125</v>
      </c>
      <c r="B36" s="2">
        <v>45717</v>
      </c>
      <c r="C36" t="s">
        <v>126</v>
      </c>
      <c r="D36" t="s">
        <v>26</v>
      </c>
      <c r="E36">
        <v>56</v>
      </c>
      <c r="F36" t="s">
        <v>78</v>
      </c>
      <c r="G36" t="s">
        <v>82</v>
      </c>
      <c r="H36" t="s">
        <v>42</v>
      </c>
      <c r="I36">
        <v>3</v>
      </c>
      <c r="J36" s="3">
        <v>19400</v>
      </c>
      <c r="K36" t="s">
        <v>68</v>
      </c>
      <c r="L36" t="s">
        <v>31</v>
      </c>
      <c r="M36" s="2">
        <v>45737</v>
      </c>
      <c r="N36" t="s">
        <v>43</v>
      </c>
      <c r="O36">
        <v>4</v>
      </c>
    </row>
    <row r="37" spans="1:15" x14ac:dyDescent="0.25">
      <c r="A37" t="s">
        <v>127</v>
      </c>
      <c r="B37" s="2">
        <v>45695</v>
      </c>
      <c r="C37" t="s">
        <v>128</v>
      </c>
      <c r="D37" t="s">
        <v>17</v>
      </c>
      <c r="E37">
        <v>49</v>
      </c>
      <c r="F37" t="s">
        <v>40</v>
      </c>
      <c r="G37" t="s">
        <v>54</v>
      </c>
      <c r="H37" t="s">
        <v>20</v>
      </c>
      <c r="I37">
        <v>5</v>
      </c>
      <c r="J37" s="3">
        <v>60700</v>
      </c>
      <c r="K37" t="s">
        <v>63</v>
      </c>
      <c r="L37" t="s">
        <v>22</v>
      </c>
      <c r="M37" s="2">
        <v>45768</v>
      </c>
      <c r="N37" t="s">
        <v>23</v>
      </c>
      <c r="O37">
        <v>5</v>
      </c>
    </row>
    <row r="38" spans="1:15" x14ac:dyDescent="0.25">
      <c r="A38" t="s">
        <v>129</v>
      </c>
      <c r="B38" s="2">
        <v>46007</v>
      </c>
      <c r="C38" t="s">
        <v>130</v>
      </c>
      <c r="D38" t="s">
        <v>17</v>
      </c>
      <c r="E38">
        <v>34</v>
      </c>
      <c r="F38" t="s">
        <v>46</v>
      </c>
      <c r="G38" t="s">
        <v>51</v>
      </c>
      <c r="H38" t="s">
        <v>20</v>
      </c>
      <c r="I38">
        <v>1</v>
      </c>
      <c r="J38" s="3">
        <v>7700</v>
      </c>
      <c r="K38" t="s">
        <v>68</v>
      </c>
      <c r="L38" t="s">
        <v>31</v>
      </c>
      <c r="M38" s="2">
        <v>46055</v>
      </c>
      <c r="N38" t="s">
        <v>32</v>
      </c>
      <c r="O38">
        <v>5</v>
      </c>
    </row>
    <row r="39" spans="1:15" x14ac:dyDescent="0.25">
      <c r="A39" t="s">
        <v>131</v>
      </c>
      <c r="B39" s="2">
        <v>45827</v>
      </c>
      <c r="C39" t="s">
        <v>132</v>
      </c>
      <c r="D39" t="s">
        <v>26</v>
      </c>
      <c r="E39">
        <v>30</v>
      </c>
      <c r="F39" t="s">
        <v>18</v>
      </c>
      <c r="G39" t="s">
        <v>19</v>
      </c>
      <c r="H39" t="s">
        <v>20</v>
      </c>
      <c r="I39">
        <v>6</v>
      </c>
      <c r="J39" s="3">
        <v>75100</v>
      </c>
      <c r="K39" t="s">
        <v>21</v>
      </c>
      <c r="L39" t="s">
        <v>31</v>
      </c>
      <c r="M39" s="2">
        <v>45944</v>
      </c>
      <c r="N39" t="s">
        <v>37</v>
      </c>
      <c r="O39">
        <v>5</v>
      </c>
    </row>
    <row r="40" spans="1:15" x14ac:dyDescent="0.25">
      <c r="A40" t="s">
        <v>133</v>
      </c>
      <c r="B40" s="2">
        <v>45837</v>
      </c>
      <c r="C40" t="s">
        <v>134</v>
      </c>
      <c r="D40" t="s">
        <v>26</v>
      </c>
      <c r="E40">
        <v>45</v>
      </c>
      <c r="F40" t="s">
        <v>40</v>
      </c>
      <c r="G40" t="s">
        <v>71</v>
      </c>
      <c r="H40" t="s">
        <v>36</v>
      </c>
      <c r="I40">
        <v>4</v>
      </c>
      <c r="J40" s="3">
        <v>38500</v>
      </c>
      <c r="K40" t="s">
        <v>30</v>
      </c>
      <c r="L40" t="s">
        <v>31</v>
      </c>
      <c r="M40" s="2">
        <v>45950</v>
      </c>
      <c r="N40" t="s">
        <v>57</v>
      </c>
      <c r="O40">
        <v>4</v>
      </c>
    </row>
    <row r="41" spans="1:15" x14ac:dyDescent="0.25">
      <c r="A41" t="s">
        <v>135</v>
      </c>
      <c r="B41" s="2">
        <v>45885</v>
      </c>
      <c r="C41" t="s">
        <v>136</v>
      </c>
      <c r="D41" t="s">
        <v>26</v>
      </c>
      <c r="E41">
        <v>53</v>
      </c>
      <c r="F41" t="s">
        <v>59</v>
      </c>
      <c r="G41" t="s">
        <v>85</v>
      </c>
      <c r="H41" t="s">
        <v>29</v>
      </c>
      <c r="I41">
        <v>5</v>
      </c>
      <c r="J41" s="3">
        <v>50700</v>
      </c>
      <c r="K41" t="s">
        <v>63</v>
      </c>
      <c r="L41" t="s">
        <v>31</v>
      </c>
      <c r="M41" s="2">
        <v>45929</v>
      </c>
      <c r="N41" t="s">
        <v>64</v>
      </c>
      <c r="O41">
        <v>4</v>
      </c>
    </row>
    <row r="42" spans="1:15" x14ac:dyDescent="0.25">
      <c r="A42" t="s">
        <v>137</v>
      </c>
      <c r="B42" s="2">
        <v>45863</v>
      </c>
      <c r="C42" t="s">
        <v>138</v>
      </c>
      <c r="D42" t="s">
        <v>26</v>
      </c>
      <c r="E42">
        <v>49</v>
      </c>
      <c r="F42" t="s">
        <v>40</v>
      </c>
      <c r="G42" t="s">
        <v>41</v>
      </c>
      <c r="H42" t="s">
        <v>42</v>
      </c>
      <c r="I42">
        <v>5</v>
      </c>
      <c r="J42" s="3">
        <v>53700</v>
      </c>
      <c r="K42" t="s">
        <v>68</v>
      </c>
      <c r="L42" t="s">
        <v>31</v>
      </c>
      <c r="M42" s="2">
        <v>45915</v>
      </c>
      <c r="N42" t="s">
        <v>37</v>
      </c>
      <c r="O42">
        <v>4</v>
      </c>
    </row>
    <row r="43" spans="1:15" x14ac:dyDescent="0.25">
      <c r="A43" t="s">
        <v>139</v>
      </c>
      <c r="B43" s="2">
        <v>45862</v>
      </c>
      <c r="C43" t="s">
        <v>118</v>
      </c>
      <c r="D43" t="s">
        <v>17</v>
      </c>
      <c r="E43">
        <v>55</v>
      </c>
      <c r="F43" t="s">
        <v>92</v>
      </c>
      <c r="G43" t="s">
        <v>93</v>
      </c>
      <c r="H43" t="s">
        <v>20</v>
      </c>
      <c r="I43">
        <v>3</v>
      </c>
      <c r="J43" s="3">
        <v>37700</v>
      </c>
      <c r="K43" t="s">
        <v>21</v>
      </c>
      <c r="L43" t="s">
        <v>31</v>
      </c>
      <c r="M43" s="2">
        <v>45977</v>
      </c>
      <c r="N43" t="s">
        <v>32</v>
      </c>
      <c r="O43">
        <v>4</v>
      </c>
    </row>
    <row r="44" spans="1:15" x14ac:dyDescent="0.25">
      <c r="A44" t="s">
        <v>140</v>
      </c>
      <c r="B44" s="2">
        <v>45677</v>
      </c>
      <c r="C44" t="s">
        <v>141</v>
      </c>
      <c r="D44" t="s">
        <v>26</v>
      </c>
      <c r="E44">
        <v>31</v>
      </c>
      <c r="F44" t="s">
        <v>142</v>
      </c>
      <c r="G44" t="s">
        <v>143</v>
      </c>
      <c r="H44" t="s">
        <v>36</v>
      </c>
      <c r="I44">
        <v>1</v>
      </c>
      <c r="J44" s="3">
        <v>8400</v>
      </c>
      <c r="K44" t="s">
        <v>21</v>
      </c>
      <c r="L44" t="s">
        <v>22</v>
      </c>
      <c r="M44" s="2">
        <v>45719</v>
      </c>
      <c r="N44" t="s">
        <v>64</v>
      </c>
      <c r="O44">
        <v>5</v>
      </c>
    </row>
    <row r="45" spans="1:15" x14ac:dyDescent="0.25">
      <c r="A45" t="s">
        <v>144</v>
      </c>
      <c r="B45" s="2">
        <v>45698</v>
      </c>
      <c r="C45" t="s">
        <v>145</v>
      </c>
      <c r="D45" t="s">
        <v>17</v>
      </c>
      <c r="E45">
        <v>32</v>
      </c>
      <c r="F45" t="s">
        <v>78</v>
      </c>
      <c r="G45" t="s">
        <v>82</v>
      </c>
      <c r="H45" t="s">
        <v>42</v>
      </c>
      <c r="I45">
        <v>5</v>
      </c>
      <c r="J45" s="3">
        <v>40000</v>
      </c>
      <c r="K45" t="s">
        <v>21</v>
      </c>
      <c r="L45" t="s">
        <v>31</v>
      </c>
      <c r="M45" s="2">
        <v>45782</v>
      </c>
      <c r="N45" t="s">
        <v>37</v>
      </c>
      <c r="O45">
        <v>4</v>
      </c>
    </row>
    <row r="46" spans="1:15" x14ac:dyDescent="0.25">
      <c r="A46" t="s">
        <v>146</v>
      </c>
      <c r="B46" s="2">
        <v>45816</v>
      </c>
      <c r="C46" t="s">
        <v>147</v>
      </c>
      <c r="D46" t="s">
        <v>26</v>
      </c>
      <c r="E46">
        <v>35</v>
      </c>
      <c r="F46" t="s">
        <v>27</v>
      </c>
      <c r="G46" t="s">
        <v>35</v>
      </c>
      <c r="H46" t="s">
        <v>36</v>
      </c>
      <c r="I46">
        <v>4</v>
      </c>
      <c r="J46" s="3">
        <v>31500</v>
      </c>
      <c r="K46" t="s">
        <v>21</v>
      </c>
      <c r="L46" t="s">
        <v>31</v>
      </c>
      <c r="M46" s="2">
        <v>45846</v>
      </c>
      <c r="N46" t="s">
        <v>64</v>
      </c>
      <c r="O46">
        <v>5</v>
      </c>
    </row>
    <row r="47" spans="1:15" x14ac:dyDescent="0.25">
      <c r="A47" t="s">
        <v>148</v>
      </c>
      <c r="B47" s="2">
        <v>45776</v>
      </c>
      <c r="C47" t="s">
        <v>149</v>
      </c>
      <c r="D47" t="s">
        <v>17</v>
      </c>
      <c r="E47">
        <v>38</v>
      </c>
      <c r="F47" t="s">
        <v>46</v>
      </c>
      <c r="G47" t="s">
        <v>51</v>
      </c>
      <c r="H47" t="s">
        <v>20</v>
      </c>
      <c r="I47">
        <v>3</v>
      </c>
      <c r="J47" s="3">
        <v>25100</v>
      </c>
      <c r="K47" t="s">
        <v>30</v>
      </c>
      <c r="L47" t="s">
        <v>31</v>
      </c>
      <c r="M47" s="2">
        <v>45865</v>
      </c>
      <c r="N47" t="s">
        <v>32</v>
      </c>
      <c r="O47">
        <v>4</v>
      </c>
    </row>
    <row r="48" spans="1:15" x14ac:dyDescent="0.25">
      <c r="A48" t="s">
        <v>150</v>
      </c>
      <c r="B48" s="2">
        <v>45904</v>
      </c>
      <c r="C48" t="s">
        <v>50</v>
      </c>
      <c r="D48" t="s">
        <v>17</v>
      </c>
      <c r="E48">
        <v>37</v>
      </c>
      <c r="F48" t="s">
        <v>18</v>
      </c>
      <c r="G48" t="s">
        <v>151</v>
      </c>
      <c r="H48" t="s">
        <v>42</v>
      </c>
      <c r="I48">
        <v>4</v>
      </c>
      <c r="J48" s="3">
        <v>28600</v>
      </c>
      <c r="K48" t="s">
        <v>68</v>
      </c>
      <c r="L48" t="s">
        <v>22</v>
      </c>
      <c r="M48" s="2">
        <v>45917</v>
      </c>
      <c r="N48" t="s">
        <v>32</v>
      </c>
      <c r="O48">
        <v>5</v>
      </c>
    </row>
    <row r="49" spans="1:15" x14ac:dyDescent="0.25">
      <c r="A49" t="s">
        <v>152</v>
      </c>
      <c r="B49" s="2">
        <v>45988</v>
      </c>
      <c r="C49" t="s">
        <v>153</v>
      </c>
      <c r="D49" t="s">
        <v>17</v>
      </c>
      <c r="E49">
        <v>60</v>
      </c>
      <c r="F49" t="s">
        <v>78</v>
      </c>
      <c r="G49" t="s">
        <v>79</v>
      </c>
      <c r="H49" t="s">
        <v>29</v>
      </c>
      <c r="I49">
        <v>4</v>
      </c>
      <c r="J49" s="3">
        <v>40500</v>
      </c>
      <c r="K49" t="s">
        <v>30</v>
      </c>
      <c r="L49" t="s">
        <v>31</v>
      </c>
      <c r="M49" s="2">
        <v>46018</v>
      </c>
      <c r="N49" t="s">
        <v>57</v>
      </c>
      <c r="O49">
        <v>5</v>
      </c>
    </row>
    <row r="50" spans="1:15" x14ac:dyDescent="0.25">
      <c r="A50" t="s">
        <v>154</v>
      </c>
      <c r="B50" s="2">
        <v>45747</v>
      </c>
      <c r="C50" t="s">
        <v>155</v>
      </c>
      <c r="D50" t="s">
        <v>26</v>
      </c>
      <c r="E50">
        <v>19</v>
      </c>
      <c r="F50" t="s">
        <v>59</v>
      </c>
      <c r="G50" t="s">
        <v>96</v>
      </c>
      <c r="H50" t="s">
        <v>36</v>
      </c>
      <c r="I50">
        <v>5</v>
      </c>
      <c r="J50" s="3">
        <v>51300</v>
      </c>
      <c r="K50" t="s">
        <v>21</v>
      </c>
      <c r="L50" t="s">
        <v>31</v>
      </c>
      <c r="M50" s="2">
        <v>45780</v>
      </c>
      <c r="N50" t="s">
        <v>32</v>
      </c>
      <c r="O50">
        <v>5</v>
      </c>
    </row>
    <row r="51" spans="1:15" x14ac:dyDescent="0.25">
      <c r="A51" t="s">
        <v>156</v>
      </c>
      <c r="B51" s="2">
        <v>45927</v>
      </c>
      <c r="C51" t="s">
        <v>157</v>
      </c>
      <c r="D51" t="s">
        <v>26</v>
      </c>
      <c r="E51">
        <v>53</v>
      </c>
      <c r="F51" t="s">
        <v>92</v>
      </c>
      <c r="G51" t="s">
        <v>108</v>
      </c>
      <c r="H51" t="s">
        <v>36</v>
      </c>
      <c r="I51">
        <v>2</v>
      </c>
      <c r="J51" s="3">
        <v>25700</v>
      </c>
      <c r="K51" t="s">
        <v>30</v>
      </c>
      <c r="L51" t="s">
        <v>31</v>
      </c>
      <c r="M51" s="2">
        <v>46017</v>
      </c>
      <c r="N51" t="s">
        <v>32</v>
      </c>
      <c r="O51">
        <v>5</v>
      </c>
    </row>
    <row r="52" spans="1:15" x14ac:dyDescent="0.25">
      <c r="A52" t="s">
        <v>158</v>
      </c>
      <c r="B52" s="2">
        <v>45934</v>
      </c>
      <c r="C52" t="s">
        <v>81</v>
      </c>
      <c r="D52" t="s">
        <v>26</v>
      </c>
      <c r="E52">
        <v>60</v>
      </c>
      <c r="F52" t="s">
        <v>142</v>
      </c>
      <c r="G52" t="s">
        <v>159</v>
      </c>
      <c r="H52" t="s">
        <v>42</v>
      </c>
      <c r="I52">
        <v>5</v>
      </c>
      <c r="J52" s="3">
        <v>36600</v>
      </c>
      <c r="K52" t="s">
        <v>63</v>
      </c>
      <c r="L52" t="s">
        <v>31</v>
      </c>
      <c r="M52" s="2">
        <v>45976</v>
      </c>
      <c r="N52" t="s">
        <v>43</v>
      </c>
      <c r="O52">
        <v>5</v>
      </c>
    </row>
    <row r="53" spans="1:15" x14ac:dyDescent="0.25">
      <c r="A53" t="s">
        <v>160</v>
      </c>
      <c r="B53" s="2">
        <v>45749</v>
      </c>
      <c r="C53" t="s">
        <v>161</v>
      </c>
      <c r="D53" t="s">
        <v>26</v>
      </c>
      <c r="E53">
        <v>29</v>
      </c>
      <c r="F53" t="s">
        <v>92</v>
      </c>
      <c r="G53" t="s">
        <v>162</v>
      </c>
      <c r="H53" t="s">
        <v>42</v>
      </c>
      <c r="I53">
        <v>5</v>
      </c>
      <c r="J53" s="3">
        <v>57100</v>
      </c>
      <c r="K53" t="s">
        <v>63</v>
      </c>
      <c r="L53" t="s">
        <v>31</v>
      </c>
      <c r="M53" s="2">
        <v>45843</v>
      </c>
      <c r="N53" t="s">
        <v>23</v>
      </c>
      <c r="O53">
        <v>4</v>
      </c>
    </row>
    <row r="54" spans="1:15" x14ac:dyDescent="0.25">
      <c r="A54" t="s">
        <v>163</v>
      </c>
      <c r="B54" s="2">
        <v>45976</v>
      </c>
      <c r="C54" t="s">
        <v>164</v>
      </c>
      <c r="D54" t="s">
        <v>26</v>
      </c>
      <c r="E54">
        <v>47</v>
      </c>
      <c r="F54" t="s">
        <v>46</v>
      </c>
      <c r="G54" t="s">
        <v>47</v>
      </c>
      <c r="H54" t="s">
        <v>48</v>
      </c>
      <c r="I54">
        <v>3</v>
      </c>
      <c r="J54" s="3">
        <v>16500</v>
      </c>
      <c r="K54" t="s">
        <v>21</v>
      </c>
      <c r="L54" t="s">
        <v>31</v>
      </c>
      <c r="M54" s="2">
        <v>46024</v>
      </c>
      <c r="N54" t="s">
        <v>23</v>
      </c>
      <c r="O54">
        <v>5</v>
      </c>
    </row>
    <row r="55" spans="1:15" x14ac:dyDescent="0.25">
      <c r="A55" t="s">
        <v>165</v>
      </c>
      <c r="B55" s="2">
        <v>45678</v>
      </c>
      <c r="C55" t="s">
        <v>141</v>
      </c>
      <c r="D55" t="s">
        <v>26</v>
      </c>
      <c r="E55">
        <v>28</v>
      </c>
      <c r="F55" t="s">
        <v>46</v>
      </c>
      <c r="G55" t="s">
        <v>47</v>
      </c>
      <c r="H55" t="s">
        <v>48</v>
      </c>
      <c r="I55">
        <v>1</v>
      </c>
      <c r="J55" s="3">
        <v>5300</v>
      </c>
      <c r="K55" t="s">
        <v>68</v>
      </c>
      <c r="L55" t="s">
        <v>31</v>
      </c>
      <c r="M55" s="2">
        <v>45739</v>
      </c>
      <c r="N55" t="s">
        <v>37</v>
      </c>
      <c r="O55">
        <v>4</v>
      </c>
    </row>
    <row r="56" spans="1:15" x14ac:dyDescent="0.25">
      <c r="A56" t="s">
        <v>166</v>
      </c>
      <c r="B56" s="2">
        <v>45745</v>
      </c>
      <c r="C56" t="s">
        <v>167</v>
      </c>
      <c r="D56" t="s">
        <v>26</v>
      </c>
      <c r="E56">
        <v>52</v>
      </c>
      <c r="F56" t="s">
        <v>142</v>
      </c>
      <c r="G56" t="s">
        <v>159</v>
      </c>
      <c r="H56" t="s">
        <v>42</v>
      </c>
      <c r="I56">
        <v>6</v>
      </c>
      <c r="J56" s="3">
        <v>49200</v>
      </c>
      <c r="K56" t="s">
        <v>21</v>
      </c>
      <c r="L56" t="s">
        <v>31</v>
      </c>
      <c r="M56" s="2">
        <v>45810</v>
      </c>
      <c r="N56" t="s">
        <v>43</v>
      </c>
      <c r="O56">
        <v>5</v>
      </c>
    </row>
    <row r="57" spans="1:15" x14ac:dyDescent="0.25">
      <c r="A57" t="s">
        <v>168</v>
      </c>
      <c r="B57" s="2">
        <v>45816</v>
      </c>
      <c r="C57" t="s">
        <v>169</v>
      </c>
      <c r="D57" t="s">
        <v>26</v>
      </c>
      <c r="E57">
        <v>23</v>
      </c>
      <c r="F57" t="s">
        <v>46</v>
      </c>
      <c r="G57" t="s">
        <v>51</v>
      </c>
      <c r="H57" t="s">
        <v>20</v>
      </c>
      <c r="I57">
        <v>1</v>
      </c>
      <c r="J57" s="3">
        <v>9700</v>
      </c>
      <c r="K57" t="s">
        <v>30</v>
      </c>
      <c r="L57" t="s">
        <v>22</v>
      </c>
      <c r="M57" s="2">
        <v>45911</v>
      </c>
      <c r="N57" t="s">
        <v>23</v>
      </c>
      <c r="O57">
        <v>4</v>
      </c>
    </row>
    <row r="58" spans="1:15" x14ac:dyDescent="0.25">
      <c r="A58" t="s">
        <v>170</v>
      </c>
      <c r="B58" s="2">
        <v>45762</v>
      </c>
      <c r="C58" t="s">
        <v>171</v>
      </c>
      <c r="D58" t="s">
        <v>17</v>
      </c>
      <c r="E58">
        <v>41</v>
      </c>
      <c r="F58" t="s">
        <v>40</v>
      </c>
      <c r="G58" t="s">
        <v>41</v>
      </c>
      <c r="H58" t="s">
        <v>42</v>
      </c>
      <c r="I58">
        <v>4</v>
      </c>
      <c r="J58" s="3">
        <v>34900</v>
      </c>
      <c r="K58" t="s">
        <v>21</v>
      </c>
      <c r="L58" t="s">
        <v>31</v>
      </c>
      <c r="M58" s="2">
        <v>45830</v>
      </c>
      <c r="N58" t="s">
        <v>64</v>
      </c>
      <c r="O58">
        <v>4</v>
      </c>
    </row>
    <row r="59" spans="1:15" x14ac:dyDescent="0.25">
      <c r="A59" t="s">
        <v>172</v>
      </c>
      <c r="B59" s="2">
        <v>45797</v>
      </c>
      <c r="C59" t="s">
        <v>107</v>
      </c>
      <c r="D59" t="s">
        <v>26</v>
      </c>
      <c r="E59">
        <v>40</v>
      </c>
      <c r="F59" t="s">
        <v>18</v>
      </c>
      <c r="G59" t="s">
        <v>151</v>
      </c>
      <c r="H59" t="s">
        <v>42</v>
      </c>
      <c r="I59">
        <v>2</v>
      </c>
      <c r="J59" s="3">
        <v>13900</v>
      </c>
      <c r="K59" t="s">
        <v>21</v>
      </c>
      <c r="L59" t="s">
        <v>31</v>
      </c>
      <c r="M59" s="2">
        <v>45881</v>
      </c>
      <c r="N59" t="s">
        <v>37</v>
      </c>
      <c r="O59">
        <v>5</v>
      </c>
    </row>
    <row r="60" spans="1:15" x14ac:dyDescent="0.25">
      <c r="A60" t="s">
        <v>173</v>
      </c>
      <c r="B60" s="2">
        <v>46015</v>
      </c>
      <c r="C60" t="s">
        <v>130</v>
      </c>
      <c r="D60" t="s">
        <v>17</v>
      </c>
      <c r="E60">
        <v>40</v>
      </c>
      <c r="F60" t="s">
        <v>78</v>
      </c>
      <c r="G60" t="s">
        <v>79</v>
      </c>
      <c r="H60" t="s">
        <v>29</v>
      </c>
      <c r="I60">
        <v>3</v>
      </c>
      <c r="J60" s="3">
        <v>33400</v>
      </c>
      <c r="K60" t="s">
        <v>63</v>
      </c>
      <c r="L60" t="s">
        <v>31</v>
      </c>
      <c r="M60" s="2">
        <v>46059</v>
      </c>
      <c r="N60" t="s">
        <v>57</v>
      </c>
      <c r="O60">
        <v>3</v>
      </c>
    </row>
    <row r="61" spans="1:15" x14ac:dyDescent="0.25">
      <c r="A61" t="s">
        <v>174</v>
      </c>
      <c r="B61" s="2">
        <v>45679</v>
      </c>
      <c r="C61" t="s">
        <v>175</v>
      </c>
      <c r="D61" t="s">
        <v>17</v>
      </c>
      <c r="E61">
        <v>57</v>
      </c>
      <c r="F61" t="s">
        <v>27</v>
      </c>
      <c r="G61" t="s">
        <v>35</v>
      </c>
      <c r="H61" t="s">
        <v>36</v>
      </c>
      <c r="I61">
        <v>4</v>
      </c>
      <c r="J61" s="3">
        <v>30200</v>
      </c>
      <c r="K61" t="s">
        <v>21</v>
      </c>
      <c r="L61" t="s">
        <v>22</v>
      </c>
      <c r="M61" s="2">
        <v>45688</v>
      </c>
      <c r="N61" t="s">
        <v>23</v>
      </c>
      <c r="O61">
        <v>5</v>
      </c>
    </row>
    <row r="62" spans="1:15" x14ac:dyDescent="0.25">
      <c r="A62" t="s">
        <v>176</v>
      </c>
      <c r="B62" s="2">
        <v>45726</v>
      </c>
      <c r="C62" t="s">
        <v>53</v>
      </c>
      <c r="D62" t="s">
        <v>26</v>
      </c>
      <c r="E62">
        <v>22</v>
      </c>
      <c r="F62" t="s">
        <v>99</v>
      </c>
      <c r="G62" t="s">
        <v>100</v>
      </c>
      <c r="H62" t="s">
        <v>42</v>
      </c>
      <c r="I62">
        <v>4</v>
      </c>
      <c r="J62" s="3">
        <v>23600</v>
      </c>
      <c r="K62" t="s">
        <v>63</v>
      </c>
      <c r="L62" t="s">
        <v>31</v>
      </c>
      <c r="M62" s="2">
        <v>45824</v>
      </c>
      <c r="N62" t="s">
        <v>23</v>
      </c>
      <c r="O62">
        <v>4</v>
      </c>
    </row>
    <row r="63" spans="1:15" x14ac:dyDescent="0.25">
      <c r="A63" t="s">
        <v>177</v>
      </c>
      <c r="B63" s="2">
        <v>45899</v>
      </c>
      <c r="C63" t="s">
        <v>178</v>
      </c>
      <c r="D63" t="s">
        <v>26</v>
      </c>
      <c r="E63">
        <v>50</v>
      </c>
      <c r="F63" t="s">
        <v>142</v>
      </c>
      <c r="G63" t="s">
        <v>179</v>
      </c>
      <c r="H63" t="s">
        <v>29</v>
      </c>
      <c r="I63">
        <v>6</v>
      </c>
      <c r="J63" s="3">
        <v>63400</v>
      </c>
      <c r="K63" t="s">
        <v>30</v>
      </c>
      <c r="L63" t="s">
        <v>31</v>
      </c>
      <c r="M63" s="2">
        <v>45911</v>
      </c>
      <c r="N63" t="s">
        <v>32</v>
      </c>
      <c r="O63">
        <v>4</v>
      </c>
    </row>
    <row r="64" spans="1:15" x14ac:dyDescent="0.25">
      <c r="A64" t="s">
        <v>180</v>
      </c>
      <c r="B64" s="2">
        <v>45752</v>
      </c>
      <c r="C64" t="s">
        <v>181</v>
      </c>
      <c r="D64" t="s">
        <v>26</v>
      </c>
      <c r="E64">
        <v>49</v>
      </c>
      <c r="F64" t="s">
        <v>46</v>
      </c>
      <c r="G64" t="s">
        <v>47</v>
      </c>
      <c r="H64" t="s">
        <v>48</v>
      </c>
      <c r="I64">
        <v>1</v>
      </c>
      <c r="J64" s="3">
        <v>6100</v>
      </c>
      <c r="K64" t="s">
        <v>68</v>
      </c>
      <c r="L64" t="s">
        <v>31</v>
      </c>
      <c r="M64" s="2">
        <v>45852</v>
      </c>
      <c r="N64" t="s">
        <v>57</v>
      </c>
      <c r="O64">
        <v>5</v>
      </c>
    </row>
    <row r="65" spans="1:15" x14ac:dyDescent="0.25">
      <c r="A65" t="s">
        <v>182</v>
      </c>
      <c r="B65" s="2">
        <v>45729</v>
      </c>
      <c r="C65" t="s">
        <v>183</v>
      </c>
      <c r="D65" t="s">
        <v>26</v>
      </c>
      <c r="E65">
        <v>40</v>
      </c>
      <c r="F65" t="s">
        <v>59</v>
      </c>
      <c r="G65" t="s">
        <v>85</v>
      </c>
      <c r="H65" t="s">
        <v>29</v>
      </c>
      <c r="I65">
        <v>5</v>
      </c>
      <c r="J65" s="3">
        <v>46300</v>
      </c>
      <c r="K65" t="s">
        <v>68</v>
      </c>
      <c r="L65" t="s">
        <v>22</v>
      </c>
      <c r="M65" s="2">
        <v>45751</v>
      </c>
      <c r="N65" t="s">
        <v>64</v>
      </c>
      <c r="O65">
        <v>4</v>
      </c>
    </row>
    <row r="66" spans="1:15" x14ac:dyDescent="0.25">
      <c r="A66" t="s">
        <v>184</v>
      </c>
      <c r="B66" s="2">
        <v>45769</v>
      </c>
      <c r="C66" t="s">
        <v>185</v>
      </c>
      <c r="D66" t="s">
        <v>26</v>
      </c>
      <c r="E66">
        <v>44</v>
      </c>
      <c r="F66" t="s">
        <v>122</v>
      </c>
      <c r="G66" t="s">
        <v>123</v>
      </c>
      <c r="H66" t="s">
        <v>29</v>
      </c>
      <c r="I66">
        <v>5</v>
      </c>
      <c r="J66" s="3">
        <v>46600</v>
      </c>
      <c r="K66" t="s">
        <v>21</v>
      </c>
      <c r="L66" t="s">
        <v>31</v>
      </c>
      <c r="M66" s="2">
        <v>45807</v>
      </c>
      <c r="N66" t="s">
        <v>23</v>
      </c>
      <c r="O66">
        <v>3</v>
      </c>
    </row>
    <row r="67" spans="1:15" x14ac:dyDescent="0.25">
      <c r="A67" t="s">
        <v>186</v>
      </c>
      <c r="B67" s="2">
        <v>45744</v>
      </c>
      <c r="C67" t="s">
        <v>77</v>
      </c>
      <c r="D67" t="s">
        <v>26</v>
      </c>
      <c r="E67">
        <v>58</v>
      </c>
      <c r="F67" t="s">
        <v>78</v>
      </c>
      <c r="G67" t="s">
        <v>79</v>
      </c>
      <c r="H67" t="s">
        <v>29</v>
      </c>
      <c r="I67">
        <v>3</v>
      </c>
      <c r="J67" s="3">
        <v>25800</v>
      </c>
      <c r="K67" t="s">
        <v>63</v>
      </c>
      <c r="L67" t="s">
        <v>31</v>
      </c>
      <c r="M67" s="2">
        <v>45821</v>
      </c>
      <c r="N67" t="s">
        <v>37</v>
      </c>
      <c r="O67">
        <v>3</v>
      </c>
    </row>
    <row r="68" spans="1:15" x14ac:dyDescent="0.25">
      <c r="A68" t="s">
        <v>187</v>
      </c>
      <c r="B68" s="2">
        <v>46013</v>
      </c>
      <c r="C68" t="s">
        <v>188</v>
      </c>
      <c r="D68" t="s">
        <v>17</v>
      </c>
      <c r="E68">
        <v>23</v>
      </c>
      <c r="F68" t="s">
        <v>46</v>
      </c>
      <c r="G68" t="s">
        <v>47</v>
      </c>
      <c r="H68" t="s">
        <v>48</v>
      </c>
      <c r="I68">
        <v>2</v>
      </c>
      <c r="J68" s="3">
        <v>12500</v>
      </c>
      <c r="K68" t="s">
        <v>68</v>
      </c>
      <c r="L68" t="s">
        <v>31</v>
      </c>
      <c r="M68" s="2">
        <v>46055</v>
      </c>
      <c r="N68" t="s">
        <v>23</v>
      </c>
      <c r="O68">
        <v>3</v>
      </c>
    </row>
    <row r="69" spans="1:15" x14ac:dyDescent="0.25">
      <c r="A69" t="s">
        <v>189</v>
      </c>
      <c r="B69" s="2">
        <v>45974</v>
      </c>
      <c r="C69" t="s">
        <v>120</v>
      </c>
      <c r="D69" t="s">
        <v>26</v>
      </c>
      <c r="E69">
        <v>49</v>
      </c>
      <c r="F69" t="s">
        <v>99</v>
      </c>
      <c r="G69" t="s">
        <v>105</v>
      </c>
      <c r="H69" t="s">
        <v>29</v>
      </c>
      <c r="I69">
        <v>3</v>
      </c>
      <c r="J69" s="3">
        <v>24300</v>
      </c>
      <c r="K69" t="s">
        <v>63</v>
      </c>
      <c r="L69" t="s">
        <v>22</v>
      </c>
      <c r="M69" s="2">
        <v>46026</v>
      </c>
      <c r="N69" t="s">
        <v>23</v>
      </c>
      <c r="O69">
        <v>5</v>
      </c>
    </row>
    <row r="70" spans="1:15" x14ac:dyDescent="0.25">
      <c r="A70" t="s">
        <v>190</v>
      </c>
      <c r="B70" s="2">
        <v>45895</v>
      </c>
      <c r="C70" t="s">
        <v>191</v>
      </c>
      <c r="D70" t="s">
        <v>26</v>
      </c>
      <c r="E70">
        <v>46</v>
      </c>
      <c r="F70" t="s">
        <v>27</v>
      </c>
      <c r="G70" t="s">
        <v>192</v>
      </c>
      <c r="H70" t="s">
        <v>42</v>
      </c>
      <c r="I70">
        <v>1</v>
      </c>
      <c r="J70" s="3">
        <v>5500</v>
      </c>
      <c r="K70" t="s">
        <v>68</v>
      </c>
      <c r="L70" t="s">
        <v>31</v>
      </c>
      <c r="M70" s="2">
        <v>45932</v>
      </c>
      <c r="N70" t="s">
        <v>23</v>
      </c>
      <c r="O70">
        <v>5</v>
      </c>
    </row>
    <row r="71" spans="1:15" x14ac:dyDescent="0.25">
      <c r="A71" t="s">
        <v>193</v>
      </c>
      <c r="B71" s="2">
        <v>45916</v>
      </c>
      <c r="C71" t="s">
        <v>194</v>
      </c>
      <c r="D71" t="s">
        <v>26</v>
      </c>
      <c r="E71">
        <v>19</v>
      </c>
      <c r="F71" t="s">
        <v>18</v>
      </c>
      <c r="G71" t="s">
        <v>151</v>
      </c>
      <c r="H71" t="s">
        <v>42</v>
      </c>
      <c r="I71">
        <v>3</v>
      </c>
      <c r="J71" s="3">
        <v>26800</v>
      </c>
      <c r="K71" t="s">
        <v>30</v>
      </c>
      <c r="L71" t="s">
        <v>31</v>
      </c>
      <c r="M71" s="2">
        <v>46018</v>
      </c>
      <c r="N71" t="s">
        <v>23</v>
      </c>
      <c r="O71">
        <v>5</v>
      </c>
    </row>
    <row r="72" spans="1:15" x14ac:dyDescent="0.25">
      <c r="A72" t="s">
        <v>195</v>
      </c>
      <c r="B72" s="2">
        <v>45948</v>
      </c>
      <c r="C72" t="s">
        <v>196</v>
      </c>
      <c r="D72" t="s">
        <v>26</v>
      </c>
      <c r="E72">
        <v>49</v>
      </c>
      <c r="F72" t="s">
        <v>78</v>
      </c>
      <c r="G72" t="s">
        <v>82</v>
      </c>
      <c r="H72" t="s">
        <v>42</v>
      </c>
      <c r="I72">
        <v>4</v>
      </c>
      <c r="J72" s="3">
        <v>32900</v>
      </c>
      <c r="K72" t="s">
        <v>63</v>
      </c>
      <c r="L72" t="s">
        <v>31</v>
      </c>
      <c r="M72" s="2">
        <v>45955</v>
      </c>
      <c r="N72" t="s">
        <v>32</v>
      </c>
      <c r="O72">
        <v>3</v>
      </c>
    </row>
    <row r="73" spans="1:15" x14ac:dyDescent="0.25">
      <c r="A73" t="s">
        <v>197</v>
      </c>
      <c r="B73" s="2">
        <v>46015</v>
      </c>
      <c r="C73" t="s">
        <v>198</v>
      </c>
      <c r="D73" t="s">
        <v>26</v>
      </c>
      <c r="E73">
        <v>59</v>
      </c>
      <c r="F73" t="s">
        <v>46</v>
      </c>
      <c r="G73" t="s">
        <v>51</v>
      </c>
      <c r="H73" t="s">
        <v>20</v>
      </c>
      <c r="I73">
        <v>6</v>
      </c>
      <c r="J73" s="3">
        <v>53600</v>
      </c>
      <c r="K73" t="s">
        <v>30</v>
      </c>
      <c r="L73" t="s">
        <v>31</v>
      </c>
      <c r="M73" s="2">
        <v>46036</v>
      </c>
      <c r="N73" t="s">
        <v>32</v>
      </c>
      <c r="O73">
        <v>5</v>
      </c>
    </row>
    <row r="74" spans="1:15" x14ac:dyDescent="0.25">
      <c r="A74" t="s">
        <v>199</v>
      </c>
      <c r="B74" s="2">
        <v>45813</v>
      </c>
      <c r="C74" t="s">
        <v>200</v>
      </c>
      <c r="D74" t="s">
        <v>17</v>
      </c>
      <c r="E74">
        <v>29</v>
      </c>
      <c r="F74" t="s">
        <v>122</v>
      </c>
      <c r="G74" t="s">
        <v>123</v>
      </c>
      <c r="H74" t="s">
        <v>29</v>
      </c>
      <c r="I74">
        <v>3</v>
      </c>
      <c r="J74" s="3">
        <v>33100</v>
      </c>
      <c r="K74" t="s">
        <v>21</v>
      </c>
      <c r="L74" t="s">
        <v>22</v>
      </c>
      <c r="M74" s="2">
        <v>45832</v>
      </c>
      <c r="N74" t="s">
        <v>23</v>
      </c>
      <c r="O74">
        <v>5</v>
      </c>
    </row>
    <row r="75" spans="1:15" x14ac:dyDescent="0.25">
      <c r="A75" t="s">
        <v>201</v>
      </c>
      <c r="B75" s="2">
        <v>45739</v>
      </c>
      <c r="C75" t="s">
        <v>202</v>
      </c>
      <c r="D75" t="s">
        <v>17</v>
      </c>
      <c r="E75">
        <v>27</v>
      </c>
      <c r="F75" t="s">
        <v>122</v>
      </c>
      <c r="G75" t="s">
        <v>203</v>
      </c>
      <c r="H75" t="s">
        <v>36</v>
      </c>
      <c r="I75">
        <v>1</v>
      </c>
      <c r="J75" s="3">
        <v>8100</v>
      </c>
      <c r="K75" t="s">
        <v>21</v>
      </c>
      <c r="L75" t="s">
        <v>31</v>
      </c>
      <c r="M75" s="2">
        <v>45748</v>
      </c>
      <c r="N75" t="s">
        <v>32</v>
      </c>
      <c r="O75">
        <v>5</v>
      </c>
    </row>
    <row r="76" spans="1:15" x14ac:dyDescent="0.25">
      <c r="A76" t="s">
        <v>204</v>
      </c>
      <c r="B76" s="2">
        <v>45735</v>
      </c>
      <c r="C76" t="s">
        <v>98</v>
      </c>
      <c r="D76" t="s">
        <v>26</v>
      </c>
      <c r="E76">
        <v>38</v>
      </c>
      <c r="F76" t="s">
        <v>40</v>
      </c>
      <c r="G76" t="s">
        <v>71</v>
      </c>
      <c r="H76" t="s">
        <v>36</v>
      </c>
      <c r="I76">
        <v>6</v>
      </c>
      <c r="J76" s="3">
        <v>53900</v>
      </c>
      <c r="K76" t="s">
        <v>21</v>
      </c>
      <c r="L76" t="s">
        <v>31</v>
      </c>
      <c r="M76" s="2">
        <v>45850</v>
      </c>
      <c r="N76" t="s">
        <v>32</v>
      </c>
      <c r="O76">
        <v>5</v>
      </c>
    </row>
    <row r="77" spans="1:15" x14ac:dyDescent="0.25">
      <c r="A77" t="s">
        <v>205</v>
      </c>
      <c r="B77" s="2">
        <v>45882</v>
      </c>
      <c r="C77" t="s">
        <v>206</v>
      </c>
      <c r="D77" t="s">
        <v>17</v>
      </c>
      <c r="E77">
        <v>38</v>
      </c>
      <c r="F77" t="s">
        <v>46</v>
      </c>
      <c r="G77" t="s">
        <v>51</v>
      </c>
      <c r="H77" t="s">
        <v>20</v>
      </c>
      <c r="I77">
        <v>3</v>
      </c>
      <c r="J77" s="3">
        <v>25900</v>
      </c>
      <c r="K77" t="s">
        <v>68</v>
      </c>
      <c r="L77" t="s">
        <v>31</v>
      </c>
      <c r="M77" s="2">
        <v>45967</v>
      </c>
      <c r="N77" t="s">
        <v>64</v>
      </c>
      <c r="O77">
        <v>3</v>
      </c>
    </row>
    <row r="78" spans="1:15" x14ac:dyDescent="0.25">
      <c r="A78" t="s">
        <v>207</v>
      </c>
      <c r="B78" s="2">
        <v>45767</v>
      </c>
      <c r="C78" t="s">
        <v>95</v>
      </c>
      <c r="D78" t="s">
        <v>26</v>
      </c>
      <c r="E78">
        <v>32</v>
      </c>
      <c r="F78" t="s">
        <v>59</v>
      </c>
      <c r="G78" t="s">
        <v>96</v>
      </c>
      <c r="H78" t="s">
        <v>36</v>
      </c>
      <c r="I78">
        <v>4</v>
      </c>
      <c r="J78" s="3">
        <v>34100</v>
      </c>
      <c r="K78" t="s">
        <v>21</v>
      </c>
      <c r="L78" t="s">
        <v>31</v>
      </c>
      <c r="M78" s="2">
        <v>45850</v>
      </c>
      <c r="N78" t="s">
        <v>43</v>
      </c>
      <c r="O78">
        <v>5</v>
      </c>
    </row>
    <row r="79" spans="1:15" x14ac:dyDescent="0.25">
      <c r="A79" t="s">
        <v>208</v>
      </c>
      <c r="B79" s="2">
        <v>45860</v>
      </c>
      <c r="C79" t="s">
        <v>209</v>
      </c>
      <c r="D79" t="s">
        <v>17</v>
      </c>
      <c r="E79">
        <v>46</v>
      </c>
      <c r="F79" t="s">
        <v>142</v>
      </c>
      <c r="G79" t="s">
        <v>143</v>
      </c>
      <c r="H79" t="s">
        <v>36</v>
      </c>
      <c r="I79">
        <v>5</v>
      </c>
      <c r="J79" s="3">
        <v>37900</v>
      </c>
      <c r="K79" t="s">
        <v>68</v>
      </c>
      <c r="L79" t="s">
        <v>31</v>
      </c>
      <c r="M79" s="2">
        <v>45932</v>
      </c>
      <c r="N79" t="s">
        <v>43</v>
      </c>
      <c r="O79">
        <v>3</v>
      </c>
    </row>
    <row r="80" spans="1:15" x14ac:dyDescent="0.25">
      <c r="A80" t="s">
        <v>210</v>
      </c>
      <c r="B80" s="2">
        <v>45976</v>
      </c>
      <c r="C80" t="s">
        <v>161</v>
      </c>
      <c r="D80" t="s">
        <v>17</v>
      </c>
      <c r="E80">
        <v>58</v>
      </c>
      <c r="F80" t="s">
        <v>142</v>
      </c>
      <c r="G80" t="s">
        <v>179</v>
      </c>
      <c r="H80" t="s">
        <v>29</v>
      </c>
      <c r="I80">
        <v>2</v>
      </c>
      <c r="J80" s="3">
        <v>20900</v>
      </c>
      <c r="K80" t="s">
        <v>21</v>
      </c>
      <c r="L80" t="s">
        <v>31</v>
      </c>
      <c r="M80" s="2">
        <v>46061</v>
      </c>
      <c r="N80" t="s">
        <v>43</v>
      </c>
      <c r="O80">
        <v>5</v>
      </c>
    </row>
    <row r="81" spans="1:15" x14ac:dyDescent="0.25">
      <c r="A81" t="s">
        <v>211</v>
      </c>
      <c r="B81" s="2">
        <v>45963</v>
      </c>
      <c r="C81" t="s">
        <v>212</v>
      </c>
      <c r="D81" t="s">
        <v>17</v>
      </c>
      <c r="E81">
        <v>60</v>
      </c>
      <c r="F81" t="s">
        <v>78</v>
      </c>
      <c r="G81" t="s">
        <v>79</v>
      </c>
      <c r="H81" t="s">
        <v>29</v>
      </c>
      <c r="I81">
        <v>5</v>
      </c>
      <c r="J81" s="3">
        <v>46000</v>
      </c>
      <c r="K81" t="s">
        <v>30</v>
      </c>
      <c r="L81" t="s">
        <v>31</v>
      </c>
      <c r="M81" s="2">
        <v>46066</v>
      </c>
      <c r="N81" t="s">
        <v>32</v>
      </c>
      <c r="O81">
        <v>5</v>
      </c>
    </row>
    <row r="82" spans="1:15" x14ac:dyDescent="0.25">
      <c r="A82" t="s">
        <v>213</v>
      </c>
      <c r="B82" s="2">
        <v>45664</v>
      </c>
      <c r="C82" t="s">
        <v>214</v>
      </c>
      <c r="D82" t="s">
        <v>17</v>
      </c>
      <c r="E82">
        <v>40</v>
      </c>
      <c r="F82" t="s">
        <v>40</v>
      </c>
      <c r="G82" t="s">
        <v>71</v>
      </c>
      <c r="H82" t="s">
        <v>36</v>
      </c>
      <c r="I82">
        <v>4</v>
      </c>
      <c r="J82" s="3">
        <v>40600</v>
      </c>
      <c r="K82" t="s">
        <v>63</v>
      </c>
      <c r="L82" t="s">
        <v>31</v>
      </c>
      <c r="M82" s="2">
        <v>45701</v>
      </c>
      <c r="N82" t="s">
        <v>23</v>
      </c>
      <c r="O82">
        <v>4</v>
      </c>
    </row>
    <row r="83" spans="1:15" x14ac:dyDescent="0.25">
      <c r="A83" t="s">
        <v>215</v>
      </c>
      <c r="B83" s="2">
        <v>45974</v>
      </c>
      <c r="C83" t="s">
        <v>167</v>
      </c>
      <c r="D83" t="s">
        <v>26</v>
      </c>
      <c r="E83">
        <v>52</v>
      </c>
      <c r="F83" t="s">
        <v>40</v>
      </c>
      <c r="G83" t="s">
        <v>54</v>
      </c>
      <c r="H83" t="s">
        <v>20</v>
      </c>
      <c r="I83">
        <v>2</v>
      </c>
      <c r="J83" s="3">
        <v>25300</v>
      </c>
      <c r="K83" t="s">
        <v>63</v>
      </c>
      <c r="L83" t="s">
        <v>31</v>
      </c>
      <c r="M83" s="2">
        <v>45995</v>
      </c>
      <c r="N83" t="s">
        <v>23</v>
      </c>
      <c r="O83">
        <v>4</v>
      </c>
    </row>
    <row r="84" spans="1:15" x14ac:dyDescent="0.25">
      <c r="A84" t="s">
        <v>216</v>
      </c>
      <c r="B84" s="2">
        <v>45892</v>
      </c>
      <c r="C84" t="s">
        <v>217</v>
      </c>
      <c r="D84" t="s">
        <v>26</v>
      </c>
      <c r="E84">
        <v>38</v>
      </c>
      <c r="F84" t="s">
        <v>122</v>
      </c>
      <c r="G84" t="s">
        <v>203</v>
      </c>
      <c r="H84" t="s">
        <v>36</v>
      </c>
      <c r="I84">
        <v>6</v>
      </c>
      <c r="J84" s="3">
        <v>55900</v>
      </c>
      <c r="K84" t="s">
        <v>30</v>
      </c>
      <c r="L84" t="s">
        <v>31</v>
      </c>
      <c r="M84" s="2">
        <v>45911</v>
      </c>
      <c r="N84" t="s">
        <v>57</v>
      </c>
      <c r="O84">
        <v>5</v>
      </c>
    </row>
    <row r="85" spans="1:15" x14ac:dyDescent="0.25">
      <c r="A85" t="s">
        <v>218</v>
      </c>
      <c r="B85" s="2">
        <v>45995</v>
      </c>
      <c r="C85" t="s">
        <v>16</v>
      </c>
      <c r="D85" t="s">
        <v>17</v>
      </c>
      <c r="E85">
        <v>39</v>
      </c>
      <c r="F85" t="s">
        <v>92</v>
      </c>
      <c r="G85" t="s">
        <v>162</v>
      </c>
      <c r="H85" t="s">
        <v>42</v>
      </c>
      <c r="I85">
        <v>6</v>
      </c>
      <c r="J85" s="3">
        <v>63300</v>
      </c>
      <c r="K85" t="s">
        <v>68</v>
      </c>
      <c r="L85" t="s">
        <v>31</v>
      </c>
      <c r="M85" s="2">
        <v>46013</v>
      </c>
      <c r="N85" t="s">
        <v>43</v>
      </c>
      <c r="O85">
        <v>4</v>
      </c>
    </row>
    <row r="86" spans="1:15" x14ac:dyDescent="0.25">
      <c r="A86" t="s">
        <v>219</v>
      </c>
      <c r="B86" s="2">
        <v>45885</v>
      </c>
      <c r="C86" t="s">
        <v>91</v>
      </c>
      <c r="D86" t="s">
        <v>26</v>
      </c>
      <c r="E86">
        <v>19</v>
      </c>
      <c r="F86" t="s">
        <v>46</v>
      </c>
      <c r="G86" t="s">
        <v>47</v>
      </c>
      <c r="H86" t="s">
        <v>48</v>
      </c>
      <c r="I86">
        <v>5</v>
      </c>
      <c r="J86" s="3">
        <v>32400</v>
      </c>
      <c r="K86" t="s">
        <v>21</v>
      </c>
      <c r="L86" t="s">
        <v>31</v>
      </c>
      <c r="M86" s="2">
        <v>46004</v>
      </c>
      <c r="N86" t="s">
        <v>57</v>
      </c>
      <c r="O86">
        <v>4</v>
      </c>
    </row>
    <row r="87" spans="1:15" x14ac:dyDescent="0.25">
      <c r="A87" t="s">
        <v>220</v>
      </c>
      <c r="B87" s="2">
        <v>45689</v>
      </c>
      <c r="C87" t="s">
        <v>221</v>
      </c>
      <c r="D87" t="s">
        <v>26</v>
      </c>
      <c r="E87">
        <v>45</v>
      </c>
      <c r="F87" t="s">
        <v>46</v>
      </c>
      <c r="G87" t="s">
        <v>51</v>
      </c>
      <c r="H87" t="s">
        <v>20</v>
      </c>
      <c r="I87">
        <v>3</v>
      </c>
      <c r="J87" s="3">
        <v>28200</v>
      </c>
      <c r="K87" t="s">
        <v>63</v>
      </c>
      <c r="L87" t="s">
        <v>31</v>
      </c>
      <c r="M87" s="2">
        <v>45787</v>
      </c>
      <c r="N87" t="s">
        <v>64</v>
      </c>
      <c r="O87">
        <v>5</v>
      </c>
    </row>
    <row r="88" spans="1:15" x14ac:dyDescent="0.25">
      <c r="A88" t="s">
        <v>222</v>
      </c>
      <c r="B88" s="2">
        <v>45875</v>
      </c>
      <c r="C88" t="s">
        <v>223</v>
      </c>
      <c r="D88" t="s">
        <v>17</v>
      </c>
      <c r="E88">
        <v>34</v>
      </c>
      <c r="F88" t="s">
        <v>27</v>
      </c>
      <c r="G88" t="s">
        <v>28</v>
      </c>
      <c r="H88" t="s">
        <v>29</v>
      </c>
      <c r="I88">
        <v>2</v>
      </c>
      <c r="J88" s="3">
        <v>15000</v>
      </c>
      <c r="K88" t="s">
        <v>21</v>
      </c>
      <c r="L88" t="s">
        <v>31</v>
      </c>
      <c r="M88" s="2">
        <v>45970</v>
      </c>
      <c r="N88" t="s">
        <v>23</v>
      </c>
      <c r="O88">
        <v>4</v>
      </c>
    </row>
    <row r="89" spans="1:15" x14ac:dyDescent="0.25">
      <c r="A89" t="s">
        <v>224</v>
      </c>
      <c r="B89" s="2">
        <v>45696</v>
      </c>
      <c r="C89" t="s">
        <v>141</v>
      </c>
      <c r="D89" t="s">
        <v>17</v>
      </c>
      <c r="E89">
        <v>57</v>
      </c>
      <c r="F89" t="s">
        <v>40</v>
      </c>
      <c r="G89" t="s">
        <v>71</v>
      </c>
      <c r="H89" t="s">
        <v>36</v>
      </c>
      <c r="I89">
        <v>1</v>
      </c>
      <c r="J89" s="3">
        <v>10700</v>
      </c>
      <c r="K89" t="s">
        <v>30</v>
      </c>
      <c r="L89" t="s">
        <v>31</v>
      </c>
      <c r="M89" s="2">
        <v>45797</v>
      </c>
      <c r="N89" t="s">
        <v>64</v>
      </c>
      <c r="O89">
        <v>5</v>
      </c>
    </row>
    <row r="90" spans="1:15" x14ac:dyDescent="0.25">
      <c r="A90" t="s">
        <v>225</v>
      </c>
      <c r="B90" s="2">
        <v>45928</v>
      </c>
      <c r="C90" t="s">
        <v>50</v>
      </c>
      <c r="D90" t="s">
        <v>17</v>
      </c>
      <c r="E90">
        <v>36</v>
      </c>
      <c r="F90" t="s">
        <v>40</v>
      </c>
      <c r="G90" t="s">
        <v>54</v>
      </c>
      <c r="H90" t="s">
        <v>20</v>
      </c>
      <c r="I90">
        <v>1</v>
      </c>
      <c r="J90" s="3">
        <v>13100</v>
      </c>
      <c r="K90" t="s">
        <v>21</v>
      </c>
      <c r="L90" t="s">
        <v>31</v>
      </c>
      <c r="M90" s="2">
        <v>45961</v>
      </c>
      <c r="N90" t="s">
        <v>37</v>
      </c>
      <c r="O90">
        <v>5</v>
      </c>
    </row>
    <row r="91" spans="1:15" x14ac:dyDescent="0.25">
      <c r="A91" t="s">
        <v>226</v>
      </c>
      <c r="B91" s="2">
        <v>45960</v>
      </c>
      <c r="C91" t="s">
        <v>34</v>
      </c>
      <c r="D91" t="s">
        <v>17</v>
      </c>
      <c r="E91">
        <v>25</v>
      </c>
      <c r="F91" t="s">
        <v>46</v>
      </c>
      <c r="G91" t="s">
        <v>47</v>
      </c>
      <c r="H91" t="s">
        <v>48</v>
      </c>
      <c r="I91">
        <v>3</v>
      </c>
      <c r="J91" s="3">
        <v>19600</v>
      </c>
      <c r="K91" t="s">
        <v>68</v>
      </c>
      <c r="L91" t="s">
        <v>31</v>
      </c>
      <c r="M91" s="2">
        <v>45992</v>
      </c>
      <c r="N91" t="s">
        <v>64</v>
      </c>
      <c r="O91">
        <v>5</v>
      </c>
    </row>
    <row r="92" spans="1:15" x14ac:dyDescent="0.25">
      <c r="A92" t="s">
        <v>227</v>
      </c>
      <c r="B92" s="2">
        <v>46014</v>
      </c>
      <c r="C92" t="s">
        <v>228</v>
      </c>
      <c r="D92" t="s">
        <v>17</v>
      </c>
      <c r="E92">
        <v>57</v>
      </c>
      <c r="F92" t="s">
        <v>18</v>
      </c>
      <c r="G92" t="s">
        <v>19</v>
      </c>
      <c r="H92" t="s">
        <v>20</v>
      </c>
      <c r="I92">
        <v>6</v>
      </c>
      <c r="J92" s="3">
        <v>60500</v>
      </c>
      <c r="K92" t="s">
        <v>21</v>
      </c>
      <c r="L92" t="s">
        <v>22</v>
      </c>
      <c r="M92" s="2">
        <v>46069</v>
      </c>
      <c r="N92" t="s">
        <v>37</v>
      </c>
      <c r="O92">
        <v>4</v>
      </c>
    </row>
    <row r="93" spans="1:15" x14ac:dyDescent="0.25">
      <c r="A93" t="s">
        <v>229</v>
      </c>
      <c r="B93" s="2">
        <v>45848</v>
      </c>
      <c r="C93" t="s">
        <v>132</v>
      </c>
      <c r="D93" t="s">
        <v>26</v>
      </c>
      <c r="E93">
        <v>40</v>
      </c>
      <c r="F93" t="s">
        <v>40</v>
      </c>
      <c r="G93" t="s">
        <v>71</v>
      </c>
      <c r="H93" t="s">
        <v>36</v>
      </c>
      <c r="I93">
        <v>4</v>
      </c>
      <c r="J93" s="3">
        <v>43100</v>
      </c>
      <c r="K93" t="s">
        <v>21</v>
      </c>
      <c r="L93" t="s">
        <v>31</v>
      </c>
      <c r="M93" s="2">
        <v>45956</v>
      </c>
      <c r="N93" t="s">
        <v>43</v>
      </c>
      <c r="O93">
        <v>5</v>
      </c>
    </row>
    <row r="94" spans="1:15" x14ac:dyDescent="0.25">
      <c r="A94" t="s">
        <v>230</v>
      </c>
      <c r="B94" s="2">
        <v>45663</v>
      </c>
      <c r="C94" t="s">
        <v>231</v>
      </c>
      <c r="D94" t="s">
        <v>26</v>
      </c>
      <c r="E94">
        <v>25</v>
      </c>
      <c r="F94" t="s">
        <v>18</v>
      </c>
      <c r="G94" t="s">
        <v>151</v>
      </c>
      <c r="H94" t="s">
        <v>42</v>
      </c>
      <c r="I94">
        <v>4</v>
      </c>
      <c r="J94" s="3">
        <v>27200</v>
      </c>
      <c r="K94" t="s">
        <v>30</v>
      </c>
      <c r="L94" t="s">
        <v>31</v>
      </c>
      <c r="M94" s="2">
        <v>45703</v>
      </c>
      <c r="N94" t="s">
        <v>32</v>
      </c>
      <c r="O94">
        <v>4</v>
      </c>
    </row>
    <row r="95" spans="1:15" x14ac:dyDescent="0.25">
      <c r="A95" t="s">
        <v>232</v>
      </c>
      <c r="B95" s="2">
        <v>46021</v>
      </c>
      <c r="C95" t="s">
        <v>233</v>
      </c>
      <c r="D95" t="s">
        <v>26</v>
      </c>
      <c r="E95">
        <v>21</v>
      </c>
      <c r="F95" t="s">
        <v>59</v>
      </c>
      <c r="G95" t="s">
        <v>85</v>
      </c>
      <c r="H95" t="s">
        <v>29</v>
      </c>
      <c r="I95">
        <v>2</v>
      </c>
      <c r="J95" s="3">
        <v>18000</v>
      </c>
      <c r="K95" t="s">
        <v>30</v>
      </c>
      <c r="L95" t="s">
        <v>22</v>
      </c>
      <c r="M95" s="2">
        <v>46097</v>
      </c>
      <c r="N95" t="s">
        <v>32</v>
      </c>
      <c r="O95">
        <v>4</v>
      </c>
    </row>
    <row r="96" spans="1:15" x14ac:dyDescent="0.25">
      <c r="A96" t="s">
        <v>234</v>
      </c>
      <c r="B96" s="2">
        <v>45971</v>
      </c>
      <c r="C96" t="s">
        <v>212</v>
      </c>
      <c r="D96" t="s">
        <v>26</v>
      </c>
      <c r="E96">
        <v>22</v>
      </c>
      <c r="F96" t="s">
        <v>78</v>
      </c>
      <c r="G96" t="s">
        <v>82</v>
      </c>
      <c r="H96" t="s">
        <v>42</v>
      </c>
      <c r="I96">
        <v>3</v>
      </c>
      <c r="J96" s="3">
        <v>19800</v>
      </c>
      <c r="K96" t="s">
        <v>63</v>
      </c>
      <c r="L96" t="s">
        <v>31</v>
      </c>
      <c r="M96" s="2">
        <v>46053</v>
      </c>
      <c r="N96" t="s">
        <v>37</v>
      </c>
      <c r="O96">
        <v>5</v>
      </c>
    </row>
    <row r="97" spans="1:15" x14ac:dyDescent="0.25">
      <c r="A97" t="s">
        <v>235</v>
      </c>
      <c r="B97" s="2">
        <v>45676</v>
      </c>
      <c r="C97" t="s">
        <v>236</v>
      </c>
      <c r="D97" t="s">
        <v>17</v>
      </c>
      <c r="E97">
        <v>53</v>
      </c>
      <c r="F97" t="s">
        <v>92</v>
      </c>
      <c r="G97" t="s">
        <v>162</v>
      </c>
      <c r="H97" t="s">
        <v>42</v>
      </c>
      <c r="I97">
        <v>5</v>
      </c>
      <c r="J97" s="3">
        <v>57800</v>
      </c>
      <c r="K97" t="s">
        <v>21</v>
      </c>
      <c r="L97" t="s">
        <v>31</v>
      </c>
      <c r="M97" s="2">
        <v>45689</v>
      </c>
      <c r="N97" t="s">
        <v>32</v>
      </c>
      <c r="O97">
        <v>4</v>
      </c>
    </row>
    <row r="98" spans="1:15" x14ac:dyDescent="0.25">
      <c r="A98" t="s">
        <v>237</v>
      </c>
      <c r="B98" s="2">
        <v>45794</v>
      </c>
      <c r="C98" t="s">
        <v>238</v>
      </c>
      <c r="D98" t="s">
        <v>17</v>
      </c>
      <c r="E98">
        <v>54</v>
      </c>
      <c r="F98" t="s">
        <v>78</v>
      </c>
      <c r="G98" t="s">
        <v>82</v>
      </c>
      <c r="H98" t="s">
        <v>42</v>
      </c>
      <c r="I98">
        <v>5</v>
      </c>
      <c r="J98" s="3">
        <v>36000</v>
      </c>
      <c r="K98" t="s">
        <v>21</v>
      </c>
      <c r="L98" t="s">
        <v>31</v>
      </c>
      <c r="M98" s="2">
        <v>45857</v>
      </c>
      <c r="N98" t="s">
        <v>37</v>
      </c>
      <c r="O98">
        <v>5</v>
      </c>
    </row>
    <row r="99" spans="1:15" x14ac:dyDescent="0.25">
      <c r="A99" t="s">
        <v>239</v>
      </c>
      <c r="B99" s="2">
        <v>45658</v>
      </c>
      <c r="C99" t="s">
        <v>157</v>
      </c>
      <c r="D99" t="s">
        <v>26</v>
      </c>
      <c r="E99">
        <v>31</v>
      </c>
      <c r="F99" t="s">
        <v>59</v>
      </c>
      <c r="G99" t="s">
        <v>85</v>
      </c>
      <c r="H99" t="s">
        <v>29</v>
      </c>
      <c r="I99">
        <v>2</v>
      </c>
      <c r="J99" s="3">
        <v>19200</v>
      </c>
      <c r="K99" t="s">
        <v>30</v>
      </c>
      <c r="L99" t="s">
        <v>31</v>
      </c>
      <c r="M99" s="2">
        <v>45762</v>
      </c>
      <c r="N99" t="s">
        <v>37</v>
      </c>
      <c r="O99">
        <v>4</v>
      </c>
    </row>
    <row r="100" spans="1:15" x14ac:dyDescent="0.25">
      <c r="A100" t="s">
        <v>240</v>
      </c>
      <c r="B100" s="2">
        <v>45710</v>
      </c>
      <c r="C100" t="s">
        <v>185</v>
      </c>
      <c r="D100" t="s">
        <v>26</v>
      </c>
      <c r="E100">
        <v>41</v>
      </c>
      <c r="F100" t="s">
        <v>142</v>
      </c>
      <c r="G100" t="s">
        <v>179</v>
      </c>
      <c r="H100" t="s">
        <v>29</v>
      </c>
      <c r="I100">
        <v>4</v>
      </c>
      <c r="J100" s="3">
        <v>33200</v>
      </c>
      <c r="K100" t="s">
        <v>63</v>
      </c>
      <c r="L100" t="s">
        <v>31</v>
      </c>
      <c r="M100" s="2">
        <v>45787</v>
      </c>
      <c r="N100" t="s">
        <v>23</v>
      </c>
      <c r="O100">
        <v>4</v>
      </c>
    </row>
    <row r="101" spans="1:15" x14ac:dyDescent="0.25">
      <c r="A101" t="s">
        <v>241</v>
      </c>
      <c r="B101" s="2">
        <v>45789</v>
      </c>
      <c r="C101" t="s">
        <v>233</v>
      </c>
      <c r="D101" t="s">
        <v>17</v>
      </c>
      <c r="E101">
        <v>53</v>
      </c>
      <c r="F101" t="s">
        <v>27</v>
      </c>
      <c r="G101" t="s">
        <v>28</v>
      </c>
      <c r="H101" t="s">
        <v>29</v>
      </c>
      <c r="I101">
        <v>5</v>
      </c>
      <c r="J101" s="3">
        <v>44600</v>
      </c>
      <c r="K101" t="s">
        <v>30</v>
      </c>
      <c r="L101" t="s">
        <v>31</v>
      </c>
      <c r="M101" s="2">
        <v>45817</v>
      </c>
      <c r="N101" t="s">
        <v>23</v>
      </c>
      <c r="O101">
        <v>4</v>
      </c>
    </row>
    <row r="102" spans="1:15" x14ac:dyDescent="0.25">
      <c r="A102" t="s">
        <v>242</v>
      </c>
      <c r="B102" s="2">
        <v>45787</v>
      </c>
      <c r="C102" t="s">
        <v>25</v>
      </c>
      <c r="D102" t="s">
        <v>26</v>
      </c>
      <c r="E102">
        <v>30</v>
      </c>
      <c r="F102" t="s">
        <v>27</v>
      </c>
      <c r="G102" t="s">
        <v>28</v>
      </c>
      <c r="H102" t="s">
        <v>29</v>
      </c>
      <c r="I102">
        <v>3</v>
      </c>
      <c r="J102" s="3">
        <v>26900</v>
      </c>
      <c r="K102" t="s">
        <v>68</v>
      </c>
      <c r="L102" t="s">
        <v>31</v>
      </c>
      <c r="M102" s="2">
        <v>45854</v>
      </c>
      <c r="N102" t="s">
        <v>57</v>
      </c>
      <c r="O102">
        <v>5</v>
      </c>
    </row>
    <row r="103" spans="1:15" x14ac:dyDescent="0.25">
      <c r="A103" t="s">
        <v>243</v>
      </c>
      <c r="B103" s="2">
        <v>45962</v>
      </c>
      <c r="C103" t="s">
        <v>244</v>
      </c>
      <c r="D103" t="s">
        <v>17</v>
      </c>
      <c r="E103">
        <v>32</v>
      </c>
      <c r="F103" t="s">
        <v>92</v>
      </c>
      <c r="G103" t="s">
        <v>108</v>
      </c>
      <c r="H103" t="s">
        <v>36</v>
      </c>
      <c r="I103">
        <v>3</v>
      </c>
      <c r="J103" s="3">
        <v>38600</v>
      </c>
      <c r="K103" t="s">
        <v>30</v>
      </c>
      <c r="L103" t="s">
        <v>31</v>
      </c>
      <c r="M103" s="2">
        <v>46050</v>
      </c>
      <c r="N103" t="s">
        <v>57</v>
      </c>
      <c r="O103">
        <v>5</v>
      </c>
    </row>
    <row r="104" spans="1:15" x14ac:dyDescent="0.25">
      <c r="A104" t="s">
        <v>245</v>
      </c>
      <c r="B104" s="2">
        <v>45735</v>
      </c>
      <c r="C104" t="s">
        <v>16</v>
      </c>
      <c r="D104" t="s">
        <v>17</v>
      </c>
      <c r="E104">
        <v>25</v>
      </c>
      <c r="F104" t="s">
        <v>59</v>
      </c>
      <c r="G104" t="s">
        <v>60</v>
      </c>
      <c r="H104" t="s">
        <v>42</v>
      </c>
      <c r="I104">
        <v>4</v>
      </c>
      <c r="J104" s="3">
        <v>37600</v>
      </c>
      <c r="K104" t="s">
        <v>30</v>
      </c>
      <c r="L104" t="s">
        <v>31</v>
      </c>
      <c r="M104" s="2">
        <v>45751</v>
      </c>
      <c r="N104" t="s">
        <v>32</v>
      </c>
      <c r="O104">
        <v>4</v>
      </c>
    </row>
    <row r="105" spans="1:15" x14ac:dyDescent="0.25">
      <c r="A105" t="s">
        <v>246</v>
      </c>
      <c r="B105" s="2">
        <v>45810</v>
      </c>
      <c r="C105" t="s">
        <v>236</v>
      </c>
      <c r="D105" t="s">
        <v>26</v>
      </c>
      <c r="E105">
        <v>30</v>
      </c>
      <c r="F105" t="s">
        <v>92</v>
      </c>
      <c r="G105" t="s">
        <v>108</v>
      </c>
      <c r="H105" t="s">
        <v>36</v>
      </c>
      <c r="I105">
        <v>1</v>
      </c>
      <c r="J105" s="3">
        <v>13300</v>
      </c>
      <c r="K105" t="s">
        <v>68</v>
      </c>
      <c r="L105" t="s">
        <v>22</v>
      </c>
      <c r="M105" s="2">
        <v>45818</v>
      </c>
      <c r="N105" t="s">
        <v>57</v>
      </c>
      <c r="O105">
        <v>5</v>
      </c>
    </row>
    <row r="106" spans="1:15" x14ac:dyDescent="0.25">
      <c r="A106" t="s">
        <v>247</v>
      </c>
      <c r="B106" s="2">
        <v>45761</v>
      </c>
      <c r="C106" t="s">
        <v>248</v>
      </c>
      <c r="D106" t="s">
        <v>17</v>
      </c>
      <c r="E106">
        <v>39</v>
      </c>
      <c r="F106" t="s">
        <v>99</v>
      </c>
      <c r="G106" t="s">
        <v>249</v>
      </c>
      <c r="H106" t="s">
        <v>36</v>
      </c>
      <c r="I106">
        <v>3</v>
      </c>
      <c r="J106" s="3">
        <v>20400</v>
      </c>
      <c r="K106" t="s">
        <v>68</v>
      </c>
      <c r="L106" t="s">
        <v>31</v>
      </c>
      <c r="M106" s="2">
        <v>45813</v>
      </c>
      <c r="N106" t="s">
        <v>37</v>
      </c>
      <c r="O106">
        <v>5</v>
      </c>
    </row>
    <row r="107" spans="1:15" x14ac:dyDescent="0.25">
      <c r="A107" t="s">
        <v>250</v>
      </c>
      <c r="B107" s="2">
        <v>45910</v>
      </c>
      <c r="C107" t="s">
        <v>251</v>
      </c>
      <c r="D107" t="s">
        <v>26</v>
      </c>
      <c r="E107">
        <v>52</v>
      </c>
      <c r="F107" t="s">
        <v>46</v>
      </c>
      <c r="G107" t="s">
        <v>51</v>
      </c>
      <c r="H107" t="s">
        <v>20</v>
      </c>
      <c r="I107">
        <v>1</v>
      </c>
      <c r="J107" s="3">
        <v>9100</v>
      </c>
      <c r="K107" t="s">
        <v>30</v>
      </c>
      <c r="L107" t="s">
        <v>22</v>
      </c>
      <c r="M107" s="2">
        <v>45998</v>
      </c>
      <c r="N107" t="s">
        <v>64</v>
      </c>
      <c r="O107">
        <v>4</v>
      </c>
    </row>
    <row r="108" spans="1:15" x14ac:dyDescent="0.25">
      <c r="A108" t="s">
        <v>252</v>
      </c>
      <c r="B108" s="2">
        <v>45864</v>
      </c>
      <c r="C108" t="s">
        <v>253</v>
      </c>
      <c r="D108" t="s">
        <v>17</v>
      </c>
      <c r="E108">
        <v>21</v>
      </c>
      <c r="F108" t="s">
        <v>78</v>
      </c>
      <c r="G108" t="s">
        <v>82</v>
      </c>
      <c r="H108" t="s">
        <v>42</v>
      </c>
      <c r="I108">
        <v>6</v>
      </c>
      <c r="J108" s="3">
        <v>46400</v>
      </c>
      <c r="K108" t="s">
        <v>63</v>
      </c>
      <c r="L108" t="s">
        <v>31</v>
      </c>
      <c r="M108" s="2">
        <v>45889</v>
      </c>
      <c r="N108" t="s">
        <v>37</v>
      </c>
      <c r="O108">
        <v>4</v>
      </c>
    </row>
    <row r="109" spans="1:15" x14ac:dyDescent="0.25">
      <c r="A109" t="s">
        <v>254</v>
      </c>
      <c r="B109" s="2">
        <v>45719</v>
      </c>
      <c r="C109" t="s">
        <v>212</v>
      </c>
      <c r="D109" t="s">
        <v>26</v>
      </c>
      <c r="E109">
        <v>35</v>
      </c>
      <c r="F109" t="s">
        <v>18</v>
      </c>
      <c r="G109" t="s">
        <v>67</v>
      </c>
      <c r="H109" t="s">
        <v>36</v>
      </c>
      <c r="I109">
        <v>3</v>
      </c>
      <c r="J109" s="3">
        <v>23300</v>
      </c>
      <c r="K109" t="s">
        <v>68</v>
      </c>
      <c r="L109" t="s">
        <v>31</v>
      </c>
      <c r="M109" s="2">
        <v>45813</v>
      </c>
      <c r="N109" t="s">
        <v>57</v>
      </c>
      <c r="O109">
        <v>4</v>
      </c>
    </row>
    <row r="110" spans="1:15" x14ac:dyDescent="0.25">
      <c r="A110" t="s">
        <v>255</v>
      </c>
      <c r="B110" s="2">
        <v>45928</v>
      </c>
      <c r="C110" t="s">
        <v>256</v>
      </c>
      <c r="D110" t="s">
        <v>17</v>
      </c>
      <c r="E110">
        <v>29</v>
      </c>
      <c r="F110" t="s">
        <v>46</v>
      </c>
      <c r="G110" t="s">
        <v>51</v>
      </c>
      <c r="H110" t="s">
        <v>20</v>
      </c>
      <c r="I110">
        <v>2</v>
      </c>
      <c r="J110" s="3">
        <v>17000</v>
      </c>
      <c r="K110" t="s">
        <v>30</v>
      </c>
      <c r="L110" t="s">
        <v>31</v>
      </c>
      <c r="M110" s="2">
        <v>45971</v>
      </c>
      <c r="N110" t="s">
        <v>32</v>
      </c>
      <c r="O110">
        <v>5</v>
      </c>
    </row>
    <row r="111" spans="1:15" x14ac:dyDescent="0.25">
      <c r="A111" t="s">
        <v>257</v>
      </c>
      <c r="B111" s="2">
        <v>45942</v>
      </c>
      <c r="C111" t="s">
        <v>214</v>
      </c>
      <c r="D111" t="s">
        <v>17</v>
      </c>
      <c r="E111">
        <v>34</v>
      </c>
      <c r="F111" t="s">
        <v>40</v>
      </c>
      <c r="G111" t="s">
        <v>41</v>
      </c>
      <c r="H111" t="s">
        <v>42</v>
      </c>
      <c r="I111">
        <v>1</v>
      </c>
      <c r="J111" s="3">
        <v>9800</v>
      </c>
      <c r="K111" t="s">
        <v>30</v>
      </c>
      <c r="L111" t="s">
        <v>31</v>
      </c>
      <c r="M111" s="2">
        <v>46042</v>
      </c>
      <c r="N111" t="s">
        <v>37</v>
      </c>
      <c r="O111">
        <v>5</v>
      </c>
    </row>
    <row r="112" spans="1:15" x14ac:dyDescent="0.25">
      <c r="A112" t="s">
        <v>258</v>
      </c>
      <c r="B112" s="2">
        <v>45827</v>
      </c>
      <c r="C112" t="s">
        <v>259</v>
      </c>
      <c r="D112" t="s">
        <v>17</v>
      </c>
      <c r="E112">
        <v>29</v>
      </c>
      <c r="F112" t="s">
        <v>78</v>
      </c>
      <c r="G112" t="s">
        <v>82</v>
      </c>
      <c r="H112" t="s">
        <v>42</v>
      </c>
      <c r="I112">
        <v>2</v>
      </c>
      <c r="J112" s="3">
        <v>15900</v>
      </c>
      <c r="K112" t="s">
        <v>68</v>
      </c>
      <c r="L112" t="s">
        <v>31</v>
      </c>
      <c r="M112" s="2">
        <v>45873</v>
      </c>
      <c r="N112" t="s">
        <v>64</v>
      </c>
      <c r="O112">
        <v>4</v>
      </c>
    </row>
    <row r="113" spans="1:15" x14ac:dyDescent="0.25">
      <c r="A113" t="s">
        <v>260</v>
      </c>
      <c r="B113" s="2">
        <v>45890</v>
      </c>
      <c r="C113" t="s">
        <v>261</v>
      </c>
      <c r="D113" t="s">
        <v>26</v>
      </c>
      <c r="E113">
        <v>35</v>
      </c>
      <c r="F113" t="s">
        <v>99</v>
      </c>
      <c r="G113" t="s">
        <v>105</v>
      </c>
      <c r="H113" t="s">
        <v>29</v>
      </c>
      <c r="I113">
        <v>6</v>
      </c>
      <c r="J113" s="3">
        <v>61900</v>
      </c>
      <c r="K113" t="s">
        <v>21</v>
      </c>
      <c r="L113" t="s">
        <v>31</v>
      </c>
      <c r="M113" s="2">
        <v>45986</v>
      </c>
      <c r="N113" t="s">
        <v>57</v>
      </c>
      <c r="O113">
        <v>5</v>
      </c>
    </row>
    <row r="114" spans="1:15" x14ac:dyDescent="0.25">
      <c r="A114" t="s">
        <v>262</v>
      </c>
      <c r="B114" s="2">
        <v>45926</v>
      </c>
      <c r="C114" t="s">
        <v>263</v>
      </c>
      <c r="D114" t="s">
        <v>17</v>
      </c>
      <c r="E114">
        <v>25</v>
      </c>
      <c r="F114" t="s">
        <v>78</v>
      </c>
      <c r="G114" t="s">
        <v>79</v>
      </c>
      <c r="H114" t="s">
        <v>29</v>
      </c>
      <c r="I114">
        <v>6</v>
      </c>
      <c r="J114" s="3">
        <v>55500</v>
      </c>
      <c r="K114" t="s">
        <v>63</v>
      </c>
      <c r="L114" t="s">
        <v>22</v>
      </c>
      <c r="M114" s="2">
        <v>46043</v>
      </c>
      <c r="N114" t="s">
        <v>23</v>
      </c>
      <c r="O114">
        <v>4</v>
      </c>
    </row>
    <row r="115" spans="1:15" x14ac:dyDescent="0.25">
      <c r="A115" t="s">
        <v>264</v>
      </c>
      <c r="B115" s="2">
        <v>45824</v>
      </c>
      <c r="C115" t="s">
        <v>53</v>
      </c>
      <c r="D115" t="s">
        <v>17</v>
      </c>
      <c r="E115">
        <v>28</v>
      </c>
      <c r="F115" t="s">
        <v>122</v>
      </c>
      <c r="G115" t="s">
        <v>203</v>
      </c>
      <c r="H115" t="s">
        <v>36</v>
      </c>
      <c r="I115">
        <v>2</v>
      </c>
      <c r="J115" s="3">
        <v>17300</v>
      </c>
      <c r="K115" t="s">
        <v>30</v>
      </c>
      <c r="L115" t="s">
        <v>31</v>
      </c>
      <c r="M115" s="2">
        <v>45866</v>
      </c>
      <c r="N115" t="s">
        <v>32</v>
      </c>
      <c r="O115">
        <v>5</v>
      </c>
    </row>
    <row r="116" spans="1:15" x14ac:dyDescent="0.25">
      <c r="A116" t="s">
        <v>265</v>
      </c>
      <c r="B116" s="2">
        <v>45696</v>
      </c>
      <c r="C116" t="s">
        <v>266</v>
      </c>
      <c r="D116" t="s">
        <v>26</v>
      </c>
      <c r="E116">
        <v>43</v>
      </c>
      <c r="F116" t="s">
        <v>78</v>
      </c>
      <c r="G116" t="s">
        <v>82</v>
      </c>
      <c r="H116" t="s">
        <v>42</v>
      </c>
      <c r="I116">
        <v>3</v>
      </c>
      <c r="J116" s="3">
        <v>24200</v>
      </c>
      <c r="K116" t="s">
        <v>63</v>
      </c>
      <c r="L116" t="s">
        <v>22</v>
      </c>
      <c r="M116" s="2">
        <v>45750</v>
      </c>
      <c r="N116" t="s">
        <v>32</v>
      </c>
      <c r="O116">
        <v>5</v>
      </c>
    </row>
    <row r="117" spans="1:15" x14ac:dyDescent="0.25">
      <c r="A117" t="s">
        <v>267</v>
      </c>
      <c r="B117" s="2">
        <v>46011</v>
      </c>
      <c r="C117" t="s">
        <v>268</v>
      </c>
      <c r="D117" t="s">
        <v>26</v>
      </c>
      <c r="E117">
        <v>58</v>
      </c>
      <c r="F117" t="s">
        <v>99</v>
      </c>
      <c r="G117" t="s">
        <v>249</v>
      </c>
      <c r="H117" t="s">
        <v>36</v>
      </c>
      <c r="I117">
        <v>5</v>
      </c>
      <c r="J117" s="3">
        <v>33000</v>
      </c>
      <c r="K117" t="s">
        <v>30</v>
      </c>
      <c r="L117" t="s">
        <v>31</v>
      </c>
      <c r="M117" s="2">
        <v>46020</v>
      </c>
      <c r="N117" t="s">
        <v>57</v>
      </c>
      <c r="O117">
        <v>4</v>
      </c>
    </row>
    <row r="118" spans="1:15" x14ac:dyDescent="0.25">
      <c r="A118" t="s">
        <v>269</v>
      </c>
      <c r="B118" s="2">
        <v>45667</v>
      </c>
      <c r="C118" t="s">
        <v>270</v>
      </c>
      <c r="D118" t="s">
        <v>26</v>
      </c>
      <c r="E118">
        <v>49</v>
      </c>
      <c r="F118" t="s">
        <v>122</v>
      </c>
      <c r="G118" t="s">
        <v>123</v>
      </c>
      <c r="H118" t="s">
        <v>29</v>
      </c>
      <c r="I118">
        <v>4</v>
      </c>
      <c r="J118" s="3">
        <v>44400</v>
      </c>
      <c r="K118" t="s">
        <v>68</v>
      </c>
      <c r="L118" t="s">
        <v>31</v>
      </c>
      <c r="M118" s="2">
        <v>45678</v>
      </c>
      <c r="N118" t="s">
        <v>43</v>
      </c>
      <c r="O118">
        <v>4</v>
      </c>
    </row>
    <row r="119" spans="1:15" x14ac:dyDescent="0.25">
      <c r="A119" t="s">
        <v>271</v>
      </c>
      <c r="B119" s="2">
        <v>45760</v>
      </c>
      <c r="C119" t="s">
        <v>272</v>
      </c>
      <c r="D119" t="s">
        <v>26</v>
      </c>
      <c r="E119">
        <v>44</v>
      </c>
      <c r="F119" t="s">
        <v>99</v>
      </c>
      <c r="G119" t="s">
        <v>105</v>
      </c>
      <c r="H119" t="s">
        <v>29</v>
      </c>
      <c r="I119">
        <v>5</v>
      </c>
      <c r="J119" s="3">
        <v>52900</v>
      </c>
      <c r="K119" t="s">
        <v>21</v>
      </c>
      <c r="L119" t="s">
        <v>31</v>
      </c>
      <c r="M119" s="2">
        <v>45780</v>
      </c>
      <c r="N119" t="s">
        <v>43</v>
      </c>
      <c r="O119">
        <v>4</v>
      </c>
    </row>
    <row r="120" spans="1:15" x14ac:dyDescent="0.25">
      <c r="A120" t="s">
        <v>273</v>
      </c>
      <c r="B120" s="2">
        <v>45840</v>
      </c>
      <c r="C120" t="s">
        <v>115</v>
      </c>
      <c r="D120" t="s">
        <v>26</v>
      </c>
      <c r="E120">
        <v>20</v>
      </c>
      <c r="F120" t="s">
        <v>27</v>
      </c>
      <c r="G120" t="s">
        <v>192</v>
      </c>
      <c r="H120" t="s">
        <v>42</v>
      </c>
      <c r="I120">
        <v>1</v>
      </c>
      <c r="J120" s="3">
        <v>5800</v>
      </c>
      <c r="K120" t="s">
        <v>63</v>
      </c>
      <c r="L120" t="s">
        <v>31</v>
      </c>
      <c r="M120" s="2">
        <v>45847</v>
      </c>
      <c r="N120" t="s">
        <v>37</v>
      </c>
      <c r="O120">
        <v>4</v>
      </c>
    </row>
    <row r="121" spans="1:15" x14ac:dyDescent="0.25">
      <c r="A121" t="s">
        <v>274</v>
      </c>
      <c r="B121" s="2">
        <v>45661</v>
      </c>
      <c r="C121" t="s">
        <v>275</v>
      </c>
      <c r="D121" t="s">
        <v>17</v>
      </c>
      <c r="E121">
        <v>49</v>
      </c>
      <c r="F121" t="s">
        <v>59</v>
      </c>
      <c r="G121" t="s">
        <v>85</v>
      </c>
      <c r="H121" t="s">
        <v>29</v>
      </c>
      <c r="I121">
        <v>4</v>
      </c>
      <c r="J121" s="3">
        <v>35700</v>
      </c>
      <c r="K121" t="s">
        <v>63</v>
      </c>
      <c r="L121" t="s">
        <v>31</v>
      </c>
      <c r="M121" s="2">
        <v>45712</v>
      </c>
      <c r="N121" t="s">
        <v>23</v>
      </c>
      <c r="O121">
        <v>5</v>
      </c>
    </row>
    <row r="122" spans="1:15" x14ac:dyDescent="0.25">
      <c r="A122" t="s">
        <v>276</v>
      </c>
      <c r="B122" s="2">
        <v>45783</v>
      </c>
      <c r="C122" t="s">
        <v>244</v>
      </c>
      <c r="D122" t="s">
        <v>26</v>
      </c>
      <c r="E122">
        <v>27</v>
      </c>
      <c r="F122" t="s">
        <v>99</v>
      </c>
      <c r="G122" t="s">
        <v>100</v>
      </c>
      <c r="H122" t="s">
        <v>42</v>
      </c>
      <c r="I122">
        <v>2</v>
      </c>
      <c r="J122" s="3">
        <v>13100</v>
      </c>
      <c r="K122" t="s">
        <v>21</v>
      </c>
      <c r="L122" t="s">
        <v>31</v>
      </c>
      <c r="M122" s="2">
        <v>45792</v>
      </c>
      <c r="N122" t="s">
        <v>43</v>
      </c>
      <c r="O122">
        <v>5</v>
      </c>
    </row>
    <row r="123" spans="1:15" x14ac:dyDescent="0.25">
      <c r="A123" t="s">
        <v>277</v>
      </c>
      <c r="B123" s="2">
        <v>45967</v>
      </c>
      <c r="C123" t="s">
        <v>270</v>
      </c>
      <c r="D123" t="s">
        <v>26</v>
      </c>
      <c r="E123">
        <v>30</v>
      </c>
      <c r="F123" t="s">
        <v>92</v>
      </c>
      <c r="G123" t="s">
        <v>108</v>
      </c>
      <c r="H123" t="s">
        <v>36</v>
      </c>
      <c r="I123">
        <v>6</v>
      </c>
      <c r="J123" s="3">
        <v>73500</v>
      </c>
      <c r="K123" t="s">
        <v>68</v>
      </c>
      <c r="L123" t="s">
        <v>31</v>
      </c>
      <c r="M123" s="2">
        <v>45981</v>
      </c>
      <c r="N123" t="s">
        <v>23</v>
      </c>
      <c r="O123">
        <v>5</v>
      </c>
    </row>
    <row r="124" spans="1:15" x14ac:dyDescent="0.25">
      <c r="A124" t="s">
        <v>278</v>
      </c>
      <c r="B124" s="2">
        <v>46008</v>
      </c>
      <c r="C124" t="s">
        <v>145</v>
      </c>
      <c r="D124" t="s">
        <v>26</v>
      </c>
      <c r="E124">
        <v>36</v>
      </c>
      <c r="F124" t="s">
        <v>27</v>
      </c>
      <c r="G124" t="s">
        <v>35</v>
      </c>
      <c r="H124" t="s">
        <v>36</v>
      </c>
      <c r="I124">
        <v>4</v>
      </c>
      <c r="J124" s="3">
        <v>26400</v>
      </c>
      <c r="K124" t="s">
        <v>21</v>
      </c>
      <c r="L124" t="s">
        <v>31</v>
      </c>
      <c r="M124" s="2">
        <v>46100</v>
      </c>
      <c r="N124" t="s">
        <v>32</v>
      </c>
      <c r="O124">
        <v>4</v>
      </c>
    </row>
    <row r="125" spans="1:15" x14ac:dyDescent="0.25">
      <c r="A125" t="s">
        <v>279</v>
      </c>
      <c r="B125" s="2">
        <v>45832</v>
      </c>
      <c r="C125" t="s">
        <v>221</v>
      </c>
      <c r="D125" t="s">
        <v>17</v>
      </c>
      <c r="E125">
        <v>32</v>
      </c>
      <c r="F125" t="s">
        <v>18</v>
      </c>
      <c r="G125" t="s">
        <v>151</v>
      </c>
      <c r="H125" t="s">
        <v>42</v>
      </c>
      <c r="I125">
        <v>5</v>
      </c>
      <c r="J125" s="3">
        <v>43700</v>
      </c>
      <c r="K125" t="s">
        <v>30</v>
      </c>
      <c r="L125" t="s">
        <v>31</v>
      </c>
      <c r="M125" s="2">
        <v>45889</v>
      </c>
      <c r="N125" t="s">
        <v>32</v>
      </c>
      <c r="O125">
        <v>4</v>
      </c>
    </row>
    <row r="126" spans="1:15" x14ac:dyDescent="0.25">
      <c r="A126" t="s">
        <v>280</v>
      </c>
      <c r="B126" s="2">
        <v>45923</v>
      </c>
      <c r="C126" t="s">
        <v>50</v>
      </c>
      <c r="D126" t="s">
        <v>26</v>
      </c>
      <c r="E126">
        <v>26</v>
      </c>
      <c r="F126" t="s">
        <v>92</v>
      </c>
      <c r="G126" t="s">
        <v>162</v>
      </c>
      <c r="H126" t="s">
        <v>42</v>
      </c>
      <c r="I126">
        <v>5</v>
      </c>
      <c r="J126" s="3">
        <v>53500</v>
      </c>
      <c r="K126" t="s">
        <v>30</v>
      </c>
      <c r="L126" t="s">
        <v>31</v>
      </c>
      <c r="M126" s="2">
        <v>45988</v>
      </c>
      <c r="N126" t="s">
        <v>37</v>
      </c>
      <c r="O126">
        <v>5</v>
      </c>
    </row>
    <row r="127" spans="1:15" x14ac:dyDescent="0.25">
      <c r="A127" t="s">
        <v>281</v>
      </c>
      <c r="B127" s="2">
        <v>46019</v>
      </c>
      <c r="C127" t="s">
        <v>282</v>
      </c>
      <c r="D127" t="s">
        <v>26</v>
      </c>
      <c r="E127">
        <v>51</v>
      </c>
      <c r="F127" t="s">
        <v>92</v>
      </c>
      <c r="G127" t="s">
        <v>162</v>
      </c>
      <c r="H127" t="s">
        <v>42</v>
      </c>
      <c r="I127">
        <v>3</v>
      </c>
      <c r="J127" s="3">
        <v>29800</v>
      </c>
      <c r="K127" t="s">
        <v>68</v>
      </c>
      <c r="L127" t="s">
        <v>22</v>
      </c>
      <c r="M127" s="2">
        <v>46029</v>
      </c>
      <c r="N127" t="s">
        <v>37</v>
      </c>
      <c r="O127">
        <v>5</v>
      </c>
    </row>
    <row r="128" spans="1:15" x14ac:dyDescent="0.25">
      <c r="A128" t="s">
        <v>283</v>
      </c>
      <c r="B128" s="2">
        <v>45747</v>
      </c>
      <c r="C128" t="s">
        <v>171</v>
      </c>
      <c r="D128" t="s">
        <v>26</v>
      </c>
      <c r="E128">
        <v>58</v>
      </c>
      <c r="F128" t="s">
        <v>99</v>
      </c>
      <c r="G128" t="s">
        <v>249</v>
      </c>
      <c r="H128" t="s">
        <v>36</v>
      </c>
      <c r="I128">
        <v>6</v>
      </c>
      <c r="J128" s="3">
        <v>51700</v>
      </c>
      <c r="K128" t="s">
        <v>68</v>
      </c>
      <c r="L128" t="s">
        <v>31</v>
      </c>
      <c r="M128" s="2">
        <v>45849</v>
      </c>
      <c r="N128" t="s">
        <v>43</v>
      </c>
      <c r="O128">
        <v>4</v>
      </c>
    </row>
    <row r="129" spans="1:15" x14ac:dyDescent="0.25">
      <c r="A129" t="s">
        <v>284</v>
      </c>
      <c r="B129" s="2">
        <v>45741</v>
      </c>
      <c r="C129" t="s">
        <v>202</v>
      </c>
      <c r="D129" t="s">
        <v>17</v>
      </c>
      <c r="E129">
        <v>20</v>
      </c>
      <c r="F129" t="s">
        <v>78</v>
      </c>
      <c r="G129" t="s">
        <v>82</v>
      </c>
      <c r="H129" t="s">
        <v>42</v>
      </c>
      <c r="I129">
        <v>4</v>
      </c>
      <c r="J129" s="3">
        <v>31300</v>
      </c>
      <c r="K129" t="s">
        <v>21</v>
      </c>
      <c r="L129" t="s">
        <v>31</v>
      </c>
      <c r="M129" s="2">
        <v>45860</v>
      </c>
      <c r="N129" t="s">
        <v>37</v>
      </c>
      <c r="O129">
        <v>4</v>
      </c>
    </row>
    <row r="130" spans="1:15" x14ac:dyDescent="0.25">
      <c r="A130" t="s">
        <v>285</v>
      </c>
      <c r="B130" s="2">
        <v>45924</v>
      </c>
      <c r="C130" t="s">
        <v>286</v>
      </c>
      <c r="D130" t="s">
        <v>17</v>
      </c>
      <c r="E130">
        <v>52</v>
      </c>
      <c r="F130" t="s">
        <v>122</v>
      </c>
      <c r="G130" t="s">
        <v>203</v>
      </c>
      <c r="H130" t="s">
        <v>36</v>
      </c>
      <c r="I130">
        <v>1</v>
      </c>
      <c r="J130" s="3">
        <v>8700</v>
      </c>
      <c r="K130" t="s">
        <v>63</v>
      </c>
      <c r="L130" t="s">
        <v>31</v>
      </c>
      <c r="M130" s="2">
        <v>45960</v>
      </c>
      <c r="N130" t="s">
        <v>23</v>
      </c>
      <c r="O130">
        <v>5</v>
      </c>
    </row>
    <row r="131" spans="1:15" x14ac:dyDescent="0.25">
      <c r="A131" t="s">
        <v>287</v>
      </c>
      <c r="B131" s="2">
        <v>45731</v>
      </c>
      <c r="C131" t="s">
        <v>212</v>
      </c>
      <c r="D131" t="s">
        <v>17</v>
      </c>
      <c r="E131">
        <v>51</v>
      </c>
      <c r="F131" t="s">
        <v>18</v>
      </c>
      <c r="G131" t="s">
        <v>67</v>
      </c>
      <c r="H131" t="s">
        <v>36</v>
      </c>
      <c r="I131">
        <v>4</v>
      </c>
      <c r="J131" s="3">
        <v>36000</v>
      </c>
      <c r="K131" t="s">
        <v>68</v>
      </c>
      <c r="L131" t="s">
        <v>31</v>
      </c>
      <c r="M131" s="2">
        <v>45788</v>
      </c>
      <c r="N131" t="s">
        <v>37</v>
      </c>
      <c r="O131">
        <v>3</v>
      </c>
    </row>
    <row r="132" spans="1:15" x14ac:dyDescent="0.25">
      <c r="A132" t="s">
        <v>288</v>
      </c>
      <c r="B132" s="2">
        <v>45919</v>
      </c>
      <c r="C132" t="s">
        <v>185</v>
      </c>
      <c r="D132" t="s">
        <v>26</v>
      </c>
      <c r="E132">
        <v>24</v>
      </c>
      <c r="F132" t="s">
        <v>92</v>
      </c>
      <c r="G132" t="s">
        <v>93</v>
      </c>
      <c r="H132" t="s">
        <v>20</v>
      </c>
      <c r="I132">
        <v>6</v>
      </c>
      <c r="J132" s="3">
        <v>81800</v>
      </c>
      <c r="K132" t="s">
        <v>68</v>
      </c>
      <c r="L132" t="s">
        <v>22</v>
      </c>
      <c r="M132" s="2">
        <v>45970</v>
      </c>
      <c r="N132" t="s">
        <v>32</v>
      </c>
      <c r="O132">
        <v>3</v>
      </c>
    </row>
    <row r="133" spans="1:15" x14ac:dyDescent="0.25">
      <c r="A133" t="s">
        <v>289</v>
      </c>
      <c r="B133" s="2">
        <v>45679</v>
      </c>
      <c r="C133" t="s">
        <v>175</v>
      </c>
      <c r="D133" t="s">
        <v>17</v>
      </c>
      <c r="E133">
        <v>56</v>
      </c>
      <c r="F133" t="s">
        <v>99</v>
      </c>
      <c r="G133" t="s">
        <v>100</v>
      </c>
      <c r="H133" t="s">
        <v>42</v>
      </c>
      <c r="I133">
        <v>2</v>
      </c>
      <c r="J133" s="3">
        <v>12300</v>
      </c>
      <c r="K133" t="s">
        <v>30</v>
      </c>
      <c r="L133" t="s">
        <v>31</v>
      </c>
      <c r="M133" s="2">
        <v>45719</v>
      </c>
      <c r="N133" t="s">
        <v>23</v>
      </c>
      <c r="O133">
        <v>4</v>
      </c>
    </row>
    <row r="134" spans="1:15" x14ac:dyDescent="0.25">
      <c r="A134" t="s">
        <v>290</v>
      </c>
      <c r="B134" s="2">
        <v>45809</v>
      </c>
      <c r="C134" t="s">
        <v>167</v>
      </c>
      <c r="D134" t="s">
        <v>26</v>
      </c>
      <c r="E134">
        <v>21</v>
      </c>
      <c r="F134" t="s">
        <v>40</v>
      </c>
      <c r="G134" t="s">
        <v>54</v>
      </c>
      <c r="H134" t="s">
        <v>20</v>
      </c>
      <c r="I134">
        <v>3</v>
      </c>
      <c r="J134" s="3">
        <v>33400</v>
      </c>
      <c r="K134" t="s">
        <v>63</v>
      </c>
      <c r="L134" t="s">
        <v>31</v>
      </c>
      <c r="M134" s="2">
        <v>45840</v>
      </c>
      <c r="N134" t="s">
        <v>37</v>
      </c>
      <c r="O134">
        <v>4</v>
      </c>
    </row>
    <row r="135" spans="1:15" x14ac:dyDescent="0.25">
      <c r="A135" t="s">
        <v>291</v>
      </c>
      <c r="B135" s="2">
        <v>45694</v>
      </c>
      <c r="C135" t="s">
        <v>292</v>
      </c>
      <c r="D135" t="s">
        <v>26</v>
      </c>
      <c r="E135">
        <v>58</v>
      </c>
      <c r="F135" t="s">
        <v>46</v>
      </c>
      <c r="G135" t="s">
        <v>47</v>
      </c>
      <c r="H135" t="s">
        <v>48</v>
      </c>
      <c r="I135">
        <v>6</v>
      </c>
      <c r="J135" s="3">
        <v>31900</v>
      </c>
      <c r="K135" t="s">
        <v>30</v>
      </c>
      <c r="L135" t="s">
        <v>31</v>
      </c>
      <c r="M135" s="2">
        <v>45754</v>
      </c>
      <c r="N135" t="s">
        <v>43</v>
      </c>
      <c r="O135">
        <v>5</v>
      </c>
    </row>
    <row r="136" spans="1:15" x14ac:dyDescent="0.25">
      <c r="A136" t="s">
        <v>293</v>
      </c>
      <c r="B136" s="2">
        <v>45676</v>
      </c>
      <c r="C136" t="s">
        <v>128</v>
      </c>
      <c r="D136" t="s">
        <v>17</v>
      </c>
      <c r="E136">
        <v>31</v>
      </c>
      <c r="F136" t="s">
        <v>122</v>
      </c>
      <c r="G136" t="s">
        <v>203</v>
      </c>
      <c r="H136" t="s">
        <v>36</v>
      </c>
      <c r="I136">
        <v>5</v>
      </c>
      <c r="J136" s="3">
        <v>39800</v>
      </c>
      <c r="K136" t="s">
        <v>63</v>
      </c>
      <c r="L136" t="s">
        <v>31</v>
      </c>
      <c r="M136" s="2">
        <v>45692</v>
      </c>
      <c r="N136" t="s">
        <v>57</v>
      </c>
      <c r="O136">
        <v>4</v>
      </c>
    </row>
    <row r="137" spans="1:15" x14ac:dyDescent="0.25">
      <c r="A137" t="s">
        <v>294</v>
      </c>
      <c r="B137" s="2">
        <v>45979</v>
      </c>
      <c r="C137" t="s">
        <v>259</v>
      </c>
      <c r="D137" t="s">
        <v>17</v>
      </c>
      <c r="E137">
        <v>28</v>
      </c>
      <c r="F137" t="s">
        <v>99</v>
      </c>
      <c r="G137" t="s">
        <v>100</v>
      </c>
      <c r="H137" t="s">
        <v>42</v>
      </c>
      <c r="I137">
        <v>2</v>
      </c>
      <c r="J137" s="3">
        <v>12800</v>
      </c>
      <c r="K137" t="s">
        <v>63</v>
      </c>
      <c r="L137" t="s">
        <v>31</v>
      </c>
      <c r="M137" s="2">
        <v>46077</v>
      </c>
      <c r="N137" t="s">
        <v>57</v>
      </c>
      <c r="O137">
        <v>3</v>
      </c>
    </row>
    <row r="138" spans="1:15" x14ac:dyDescent="0.25">
      <c r="A138" t="s">
        <v>295</v>
      </c>
      <c r="B138" s="2">
        <v>45930</v>
      </c>
      <c r="C138" t="s">
        <v>296</v>
      </c>
      <c r="D138" t="s">
        <v>26</v>
      </c>
      <c r="E138">
        <v>36</v>
      </c>
      <c r="F138" t="s">
        <v>92</v>
      </c>
      <c r="G138" t="s">
        <v>108</v>
      </c>
      <c r="H138" t="s">
        <v>36</v>
      </c>
      <c r="I138">
        <v>6</v>
      </c>
      <c r="J138" s="3">
        <v>65900</v>
      </c>
      <c r="K138" t="s">
        <v>63</v>
      </c>
      <c r="L138" t="s">
        <v>22</v>
      </c>
      <c r="M138" s="2">
        <v>45939</v>
      </c>
      <c r="N138" t="s">
        <v>64</v>
      </c>
      <c r="O138">
        <v>4</v>
      </c>
    </row>
    <row r="139" spans="1:15" x14ac:dyDescent="0.25">
      <c r="A139" t="s">
        <v>297</v>
      </c>
      <c r="B139" s="2">
        <v>45767</v>
      </c>
      <c r="C139" t="s">
        <v>136</v>
      </c>
      <c r="D139" t="s">
        <v>26</v>
      </c>
      <c r="E139">
        <v>25</v>
      </c>
      <c r="F139" t="s">
        <v>78</v>
      </c>
      <c r="G139" t="s">
        <v>79</v>
      </c>
      <c r="H139" t="s">
        <v>29</v>
      </c>
      <c r="I139">
        <v>6</v>
      </c>
      <c r="J139" s="3">
        <v>61000</v>
      </c>
      <c r="K139" t="s">
        <v>68</v>
      </c>
      <c r="L139" t="s">
        <v>31</v>
      </c>
      <c r="M139" s="2">
        <v>45796</v>
      </c>
      <c r="N139" t="s">
        <v>23</v>
      </c>
      <c r="O139">
        <v>5</v>
      </c>
    </row>
    <row r="140" spans="1:15" x14ac:dyDescent="0.25">
      <c r="A140" t="s">
        <v>298</v>
      </c>
      <c r="B140" s="2">
        <v>45925</v>
      </c>
      <c r="C140" t="s">
        <v>84</v>
      </c>
      <c r="D140" t="s">
        <v>17</v>
      </c>
      <c r="E140">
        <v>20</v>
      </c>
      <c r="F140" t="s">
        <v>40</v>
      </c>
      <c r="G140" t="s">
        <v>41</v>
      </c>
      <c r="H140" t="s">
        <v>42</v>
      </c>
      <c r="I140">
        <v>4</v>
      </c>
      <c r="J140" s="3">
        <v>43800</v>
      </c>
      <c r="K140" t="s">
        <v>30</v>
      </c>
      <c r="L140" t="s">
        <v>31</v>
      </c>
      <c r="M140" s="2">
        <v>45978</v>
      </c>
      <c r="N140" t="s">
        <v>43</v>
      </c>
      <c r="O140">
        <v>5</v>
      </c>
    </row>
    <row r="141" spans="1:15" x14ac:dyDescent="0.25">
      <c r="A141" t="s">
        <v>299</v>
      </c>
      <c r="B141" s="2">
        <v>45804</v>
      </c>
      <c r="C141" t="s">
        <v>171</v>
      </c>
      <c r="D141" t="s">
        <v>26</v>
      </c>
      <c r="E141">
        <v>46</v>
      </c>
      <c r="F141" t="s">
        <v>40</v>
      </c>
      <c r="G141" t="s">
        <v>71</v>
      </c>
      <c r="H141" t="s">
        <v>36</v>
      </c>
      <c r="I141">
        <v>6</v>
      </c>
      <c r="J141" s="3">
        <v>59800</v>
      </c>
      <c r="K141" t="s">
        <v>21</v>
      </c>
      <c r="L141" t="s">
        <v>31</v>
      </c>
      <c r="M141" s="2">
        <v>45917</v>
      </c>
      <c r="N141" t="s">
        <v>57</v>
      </c>
      <c r="O141">
        <v>5</v>
      </c>
    </row>
    <row r="142" spans="1:15" x14ac:dyDescent="0.25">
      <c r="A142" t="s">
        <v>300</v>
      </c>
      <c r="B142" s="2">
        <v>45738</v>
      </c>
      <c r="C142" t="s">
        <v>102</v>
      </c>
      <c r="D142" t="s">
        <v>17</v>
      </c>
      <c r="E142">
        <v>20</v>
      </c>
      <c r="F142" t="s">
        <v>122</v>
      </c>
      <c r="G142" t="s">
        <v>203</v>
      </c>
      <c r="H142" t="s">
        <v>36</v>
      </c>
      <c r="I142">
        <v>3</v>
      </c>
      <c r="J142" s="3">
        <v>25800</v>
      </c>
      <c r="K142" t="s">
        <v>30</v>
      </c>
      <c r="L142" t="s">
        <v>31</v>
      </c>
      <c r="M142" s="2">
        <v>45756</v>
      </c>
      <c r="N142" t="s">
        <v>23</v>
      </c>
      <c r="O142">
        <v>5</v>
      </c>
    </row>
    <row r="143" spans="1:15" x14ac:dyDescent="0.25">
      <c r="A143" t="s">
        <v>301</v>
      </c>
      <c r="B143" s="2">
        <v>45858</v>
      </c>
      <c r="C143" t="s">
        <v>302</v>
      </c>
      <c r="D143" t="s">
        <v>17</v>
      </c>
      <c r="E143">
        <v>41</v>
      </c>
      <c r="F143" t="s">
        <v>99</v>
      </c>
      <c r="G143" t="s">
        <v>249</v>
      </c>
      <c r="H143" t="s">
        <v>36</v>
      </c>
      <c r="I143">
        <v>3</v>
      </c>
      <c r="J143" s="3">
        <v>22100</v>
      </c>
      <c r="K143" t="s">
        <v>21</v>
      </c>
      <c r="L143" t="s">
        <v>31</v>
      </c>
      <c r="M143" s="2">
        <v>45938</v>
      </c>
      <c r="N143" t="s">
        <v>32</v>
      </c>
      <c r="O143">
        <v>3</v>
      </c>
    </row>
    <row r="144" spans="1:15" x14ac:dyDescent="0.25">
      <c r="A144" t="s">
        <v>303</v>
      </c>
      <c r="B144" s="2">
        <v>45876</v>
      </c>
      <c r="C144" t="s">
        <v>134</v>
      </c>
      <c r="D144" t="s">
        <v>26</v>
      </c>
      <c r="E144">
        <v>42</v>
      </c>
      <c r="F144" t="s">
        <v>59</v>
      </c>
      <c r="G144" t="s">
        <v>96</v>
      </c>
      <c r="H144" t="s">
        <v>36</v>
      </c>
      <c r="I144">
        <v>2</v>
      </c>
      <c r="J144" s="3">
        <v>17100</v>
      </c>
      <c r="K144" t="s">
        <v>21</v>
      </c>
      <c r="L144" t="s">
        <v>31</v>
      </c>
      <c r="M144" s="2">
        <v>45896</v>
      </c>
      <c r="N144" t="s">
        <v>57</v>
      </c>
      <c r="O144">
        <v>5</v>
      </c>
    </row>
    <row r="145" spans="1:15" x14ac:dyDescent="0.25">
      <c r="A145" t="s">
        <v>304</v>
      </c>
      <c r="B145" s="2">
        <v>45965</v>
      </c>
      <c r="C145" t="s">
        <v>305</v>
      </c>
      <c r="D145" t="s">
        <v>26</v>
      </c>
      <c r="E145">
        <v>47</v>
      </c>
      <c r="F145" t="s">
        <v>40</v>
      </c>
      <c r="G145" t="s">
        <v>54</v>
      </c>
      <c r="H145" t="s">
        <v>20</v>
      </c>
      <c r="I145">
        <v>3</v>
      </c>
      <c r="J145" s="3">
        <v>36200</v>
      </c>
      <c r="K145" t="s">
        <v>68</v>
      </c>
      <c r="L145" t="s">
        <v>31</v>
      </c>
      <c r="M145" s="2">
        <v>46012</v>
      </c>
      <c r="N145" t="s">
        <v>32</v>
      </c>
      <c r="O145">
        <v>5</v>
      </c>
    </row>
    <row r="146" spans="1:15" x14ac:dyDescent="0.25">
      <c r="A146" t="s">
        <v>306</v>
      </c>
      <c r="B146" s="2">
        <v>45723</v>
      </c>
      <c r="C146" t="s">
        <v>25</v>
      </c>
      <c r="D146" t="s">
        <v>17</v>
      </c>
      <c r="E146">
        <v>50</v>
      </c>
      <c r="F146" t="s">
        <v>40</v>
      </c>
      <c r="G146" t="s">
        <v>54</v>
      </c>
      <c r="H146" t="s">
        <v>20</v>
      </c>
      <c r="I146">
        <v>6</v>
      </c>
      <c r="J146" s="3">
        <v>86700</v>
      </c>
      <c r="K146" t="s">
        <v>21</v>
      </c>
      <c r="L146" t="s">
        <v>31</v>
      </c>
      <c r="M146" s="2">
        <v>45740</v>
      </c>
      <c r="N146" t="s">
        <v>32</v>
      </c>
      <c r="O146">
        <v>5</v>
      </c>
    </row>
    <row r="147" spans="1:15" x14ac:dyDescent="0.25">
      <c r="A147" t="s">
        <v>307</v>
      </c>
      <c r="B147" s="2">
        <v>45937</v>
      </c>
      <c r="C147" t="s">
        <v>308</v>
      </c>
      <c r="D147" t="s">
        <v>17</v>
      </c>
      <c r="E147">
        <v>28</v>
      </c>
      <c r="F147" t="s">
        <v>99</v>
      </c>
      <c r="G147" t="s">
        <v>105</v>
      </c>
      <c r="H147" t="s">
        <v>29</v>
      </c>
      <c r="I147">
        <v>5</v>
      </c>
      <c r="J147" s="3">
        <v>46700</v>
      </c>
      <c r="K147" t="s">
        <v>68</v>
      </c>
      <c r="L147" t="s">
        <v>31</v>
      </c>
      <c r="M147" s="2">
        <v>46018</v>
      </c>
      <c r="N147" t="s">
        <v>37</v>
      </c>
      <c r="O147">
        <v>5</v>
      </c>
    </row>
    <row r="148" spans="1:15" x14ac:dyDescent="0.25">
      <c r="A148" t="s">
        <v>309</v>
      </c>
      <c r="B148" s="2">
        <v>45884</v>
      </c>
      <c r="C148" t="s">
        <v>39</v>
      </c>
      <c r="D148" t="s">
        <v>26</v>
      </c>
      <c r="E148">
        <v>18</v>
      </c>
      <c r="F148" t="s">
        <v>40</v>
      </c>
      <c r="G148" t="s">
        <v>71</v>
      </c>
      <c r="H148" t="s">
        <v>36</v>
      </c>
      <c r="I148">
        <v>3</v>
      </c>
      <c r="J148" s="3">
        <v>29200</v>
      </c>
      <c r="K148" t="s">
        <v>63</v>
      </c>
      <c r="L148" t="s">
        <v>22</v>
      </c>
      <c r="M148" s="2">
        <v>45957</v>
      </c>
      <c r="N148" t="s">
        <v>64</v>
      </c>
      <c r="O148">
        <v>5</v>
      </c>
    </row>
    <row r="149" spans="1:15" x14ac:dyDescent="0.25">
      <c r="A149" t="s">
        <v>310</v>
      </c>
      <c r="B149" s="2">
        <v>45866</v>
      </c>
      <c r="C149" t="s">
        <v>81</v>
      </c>
      <c r="D149" t="s">
        <v>26</v>
      </c>
      <c r="E149">
        <v>49</v>
      </c>
      <c r="F149" t="s">
        <v>99</v>
      </c>
      <c r="G149" t="s">
        <v>100</v>
      </c>
      <c r="H149" t="s">
        <v>42</v>
      </c>
      <c r="I149">
        <v>2</v>
      </c>
      <c r="J149" s="3">
        <v>14400</v>
      </c>
      <c r="K149" t="s">
        <v>63</v>
      </c>
      <c r="L149" t="s">
        <v>31</v>
      </c>
      <c r="M149" s="2">
        <v>45953</v>
      </c>
      <c r="N149" t="s">
        <v>32</v>
      </c>
      <c r="O149">
        <v>5</v>
      </c>
    </row>
    <row r="150" spans="1:15" x14ac:dyDescent="0.25">
      <c r="A150" t="s">
        <v>311</v>
      </c>
      <c r="B150" s="2">
        <v>45732</v>
      </c>
      <c r="C150" t="s">
        <v>248</v>
      </c>
      <c r="D150" t="s">
        <v>26</v>
      </c>
      <c r="E150">
        <v>21</v>
      </c>
      <c r="F150" t="s">
        <v>122</v>
      </c>
      <c r="G150" t="s">
        <v>203</v>
      </c>
      <c r="H150" t="s">
        <v>36</v>
      </c>
      <c r="I150">
        <v>3</v>
      </c>
      <c r="J150" s="3">
        <v>25300</v>
      </c>
      <c r="K150" t="s">
        <v>21</v>
      </c>
      <c r="L150" t="s">
        <v>31</v>
      </c>
      <c r="M150" s="2">
        <v>45774</v>
      </c>
      <c r="N150" t="s">
        <v>43</v>
      </c>
      <c r="O150">
        <v>4</v>
      </c>
    </row>
    <row r="151" spans="1:15" x14ac:dyDescent="0.25">
      <c r="A151" t="s">
        <v>312</v>
      </c>
      <c r="B151" s="2">
        <v>45897</v>
      </c>
      <c r="C151" t="s">
        <v>209</v>
      </c>
      <c r="D151" t="s">
        <v>26</v>
      </c>
      <c r="E151">
        <v>28</v>
      </c>
      <c r="F151" t="s">
        <v>46</v>
      </c>
      <c r="G151" t="s">
        <v>51</v>
      </c>
      <c r="H151" t="s">
        <v>20</v>
      </c>
      <c r="I151">
        <v>4</v>
      </c>
      <c r="J151" s="3">
        <v>39500</v>
      </c>
      <c r="K151" t="s">
        <v>68</v>
      </c>
      <c r="L151" t="s">
        <v>31</v>
      </c>
      <c r="M151" s="2">
        <v>45959</v>
      </c>
      <c r="N151" t="s">
        <v>37</v>
      </c>
      <c r="O151">
        <v>4</v>
      </c>
    </row>
    <row r="152" spans="1:15" x14ac:dyDescent="0.25">
      <c r="A152" t="s">
        <v>313</v>
      </c>
      <c r="B152" s="2">
        <v>45883</v>
      </c>
      <c r="C152" t="s">
        <v>214</v>
      </c>
      <c r="D152" t="s">
        <v>17</v>
      </c>
      <c r="E152">
        <v>37</v>
      </c>
      <c r="F152" t="s">
        <v>46</v>
      </c>
      <c r="G152" t="s">
        <v>47</v>
      </c>
      <c r="H152" t="s">
        <v>48</v>
      </c>
      <c r="I152">
        <v>1</v>
      </c>
      <c r="J152" s="3">
        <v>5600</v>
      </c>
      <c r="K152" t="s">
        <v>21</v>
      </c>
      <c r="L152" t="s">
        <v>22</v>
      </c>
      <c r="M152" s="2">
        <v>45974</v>
      </c>
      <c r="N152" t="s">
        <v>32</v>
      </c>
      <c r="O152">
        <v>4</v>
      </c>
    </row>
    <row r="153" spans="1:15" x14ac:dyDescent="0.25">
      <c r="A153" t="s">
        <v>314</v>
      </c>
      <c r="B153" s="2">
        <v>45986</v>
      </c>
      <c r="C153" t="s">
        <v>308</v>
      </c>
      <c r="D153" t="s">
        <v>26</v>
      </c>
      <c r="E153">
        <v>28</v>
      </c>
      <c r="F153" t="s">
        <v>18</v>
      </c>
      <c r="G153" t="s">
        <v>67</v>
      </c>
      <c r="H153" t="s">
        <v>36</v>
      </c>
      <c r="I153">
        <v>1</v>
      </c>
      <c r="J153" s="3">
        <v>8800</v>
      </c>
      <c r="K153" t="s">
        <v>63</v>
      </c>
      <c r="L153" t="s">
        <v>31</v>
      </c>
      <c r="M153" s="2">
        <v>46086</v>
      </c>
      <c r="N153" t="s">
        <v>32</v>
      </c>
      <c r="O153">
        <v>5</v>
      </c>
    </row>
    <row r="154" spans="1:15" x14ac:dyDescent="0.25">
      <c r="A154" t="s">
        <v>315</v>
      </c>
      <c r="B154" s="2">
        <v>45919</v>
      </c>
      <c r="C154" t="s">
        <v>194</v>
      </c>
      <c r="D154" t="s">
        <v>26</v>
      </c>
      <c r="E154">
        <v>32</v>
      </c>
      <c r="F154" t="s">
        <v>40</v>
      </c>
      <c r="G154" t="s">
        <v>71</v>
      </c>
      <c r="H154" t="s">
        <v>36</v>
      </c>
      <c r="I154">
        <v>2</v>
      </c>
      <c r="J154" s="3">
        <v>23900</v>
      </c>
      <c r="K154" t="s">
        <v>68</v>
      </c>
      <c r="L154" t="s">
        <v>31</v>
      </c>
      <c r="M154" s="2">
        <v>45948</v>
      </c>
      <c r="N154" t="s">
        <v>64</v>
      </c>
      <c r="O154">
        <v>4</v>
      </c>
    </row>
    <row r="155" spans="1:15" x14ac:dyDescent="0.25">
      <c r="A155" t="s">
        <v>316</v>
      </c>
      <c r="B155" s="2">
        <v>45908</v>
      </c>
      <c r="C155" t="s">
        <v>223</v>
      </c>
      <c r="D155" t="s">
        <v>17</v>
      </c>
      <c r="E155">
        <v>27</v>
      </c>
      <c r="F155" t="s">
        <v>27</v>
      </c>
      <c r="G155" t="s">
        <v>28</v>
      </c>
      <c r="H155" t="s">
        <v>29</v>
      </c>
      <c r="I155">
        <v>6</v>
      </c>
      <c r="J155" s="3">
        <v>45300</v>
      </c>
      <c r="K155" t="s">
        <v>68</v>
      </c>
      <c r="L155" t="s">
        <v>31</v>
      </c>
      <c r="M155" s="2">
        <v>45977</v>
      </c>
      <c r="N155" t="s">
        <v>43</v>
      </c>
      <c r="O155">
        <v>4</v>
      </c>
    </row>
    <row r="156" spans="1:15" x14ac:dyDescent="0.25">
      <c r="A156" t="s">
        <v>317</v>
      </c>
      <c r="B156" s="2">
        <v>45855</v>
      </c>
      <c r="C156" t="s">
        <v>39</v>
      </c>
      <c r="D156" t="s">
        <v>17</v>
      </c>
      <c r="E156">
        <v>43</v>
      </c>
      <c r="F156" t="s">
        <v>18</v>
      </c>
      <c r="G156" t="s">
        <v>151</v>
      </c>
      <c r="H156" t="s">
        <v>42</v>
      </c>
      <c r="I156">
        <v>5</v>
      </c>
      <c r="J156" s="3">
        <v>39200</v>
      </c>
      <c r="K156" t="s">
        <v>68</v>
      </c>
      <c r="L156" t="s">
        <v>31</v>
      </c>
      <c r="M156" s="2">
        <v>45903</v>
      </c>
      <c r="N156" t="s">
        <v>23</v>
      </c>
      <c r="O156">
        <v>4</v>
      </c>
    </row>
    <row r="157" spans="1:15" x14ac:dyDescent="0.25">
      <c r="A157" t="s">
        <v>318</v>
      </c>
      <c r="B157" s="2">
        <v>45675</v>
      </c>
      <c r="C157" t="s">
        <v>263</v>
      </c>
      <c r="D157" t="s">
        <v>17</v>
      </c>
      <c r="E157">
        <v>41</v>
      </c>
      <c r="F157" t="s">
        <v>40</v>
      </c>
      <c r="G157" t="s">
        <v>71</v>
      </c>
      <c r="H157" t="s">
        <v>36</v>
      </c>
      <c r="I157">
        <v>3</v>
      </c>
      <c r="J157" s="3">
        <v>29800</v>
      </c>
      <c r="K157" t="s">
        <v>30</v>
      </c>
      <c r="L157" t="s">
        <v>31</v>
      </c>
      <c r="M157" s="2">
        <v>45686</v>
      </c>
      <c r="N157" t="s">
        <v>64</v>
      </c>
      <c r="O157">
        <v>4</v>
      </c>
    </row>
    <row r="158" spans="1:15" x14ac:dyDescent="0.25">
      <c r="A158" t="s">
        <v>319</v>
      </c>
      <c r="B158" s="2">
        <v>45842</v>
      </c>
      <c r="C158" t="s">
        <v>268</v>
      </c>
      <c r="D158" t="s">
        <v>17</v>
      </c>
      <c r="E158">
        <v>58</v>
      </c>
      <c r="F158" t="s">
        <v>78</v>
      </c>
      <c r="G158" t="s">
        <v>79</v>
      </c>
      <c r="H158" t="s">
        <v>29</v>
      </c>
      <c r="I158">
        <v>3</v>
      </c>
      <c r="J158" s="3">
        <v>31400</v>
      </c>
      <c r="K158" t="s">
        <v>30</v>
      </c>
      <c r="L158" t="s">
        <v>22</v>
      </c>
      <c r="M158" s="2">
        <v>45890</v>
      </c>
      <c r="N158" t="s">
        <v>57</v>
      </c>
      <c r="O158">
        <v>5</v>
      </c>
    </row>
    <row r="159" spans="1:15" x14ac:dyDescent="0.25">
      <c r="A159" t="s">
        <v>320</v>
      </c>
      <c r="B159" s="2">
        <v>45936</v>
      </c>
      <c r="C159" t="s">
        <v>321</v>
      </c>
      <c r="D159" t="s">
        <v>17</v>
      </c>
      <c r="E159">
        <v>45</v>
      </c>
      <c r="F159" t="s">
        <v>27</v>
      </c>
      <c r="G159" t="s">
        <v>192</v>
      </c>
      <c r="H159" t="s">
        <v>42</v>
      </c>
      <c r="I159">
        <v>1</v>
      </c>
      <c r="J159" s="3">
        <v>5800</v>
      </c>
      <c r="K159" t="s">
        <v>63</v>
      </c>
      <c r="L159" t="s">
        <v>31</v>
      </c>
      <c r="M159" s="2">
        <v>46040</v>
      </c>
      <c r="N159" t="s">
        <v>37</v>
      </c>
      <c r="O159">
        <v>3</v>
      </c>
    </row>
    <row r="160" spans="1:15" x14ac:dyDescent="0.25">
      <c r="A160" t="s">
        <v>322</v>
      </c>
      <c r="B160" s="2">
        <v>46022</v>
      </c>
      <c r="C160" t="s">
        <v>62</v>
      </c>
      <c r="D160" t="s">
        <v>17</v>
      </c>
      <c r="E160">
        <v>59</v>
      </c>
      <c r="F160" t="s">
        <v>142</v>
      </c>
      <c r="G160" t="s">
        <v>179</v>
      </c>
      <c r="H160" t="s">
        <v>29</v>
      </c>
      <c r="I160">
        <v>5</v>
      </c>
      <c r="J160" s="3">
        <v>50500</v>
      </c>
      <c r="K160" t="s">
        <v>21</v>
      </c>
      <c r="L160" t="s">
        <v>31</v>
      </c>
      <c r="M160" s="2">
        <v>46030</v>
      </c>
      <c r="N160" t="s">
        <v>57</v>
      </c>
      <c r="O160">
        <v>3</v>
      </c>
    </row>
    <row r="161" spans="1:15" x14ac:dyDescent="0.25">
      <c r="A161" t="s">
        <v>323</v>
      </c>
      <c r="B161" s="2">
        <v>45952</v>
      </c>
      <c r="C161" t="s">
        <v>236</v>
      </c>
      <c r="D161" t="s">
        <v>26</v>
      </c>
      <c r="E161">
        <v>41</v>
      </c>
      <c r="F161" t="s">
        <v>18</v>
      </c>
      <c r="G161" t="s">
        <v>19</v>
      </c>
      <c r="H161" t="s">
        <v>20</v>
      </c>
      <c r="I161">
        <v>3</v>
      </c>
      <c r="J161" s="3">
        <v>38300</v>
      </c>
      <c r="K161" t="s">
        <v>63</v>
      </c>
      <c r="L161" t="s">
        <v>31</v>
      </c>
      <c r="M161" s="2">
        <v>46021</v>
      </c>
      <c r="N161" t="s">
        <v>43</v>
      </c>
      <c r="O161">
        <v>5</v>
      </c>
    </row>
    <row r="162" spans="1:15" x14ac:dyDescent="0.25">
      <c r="A162" t="s">
        <v>324</v>
      </c>
      <c r="B162" s="2">
        <v>45784</v>
      </c>
      <c r="C162" t="s">
        <v>325</v>
      </c>
      <c r="D162" t="s">
        <v>17</v>
      </c>
      <c r="E162">
        <v>54</v>
      </c>
      <c r="F162" t="s">
        <v>122</v>
      </c>
      <c r="G162" t="s">
        <v>123</v>
      </c>
      <c r="H162" t="s">
        <v>29</v>
      </c>
      <c r="I162">
        <v>1</v>
      </c>
      <c r="J162" s="3">
        <v>8900</v>
      </c>
      <c r="K162" t="s">
        <v>63</v>
      </c>
      <c r="L162" t="s">
        <v>22</v>
      </c>
      <c r="M162" s="2">
        <v>45894</v>
      </c>
      <c r="N162" t="s">
        <v>23</v>
      </c>
      <c r="O162">
        <v>5</v>
      </c>
    </row>
    <row r="163" spans="1:15" x14ac:dyDescent="0.25">
      <c r="A163" t="s">
        <v>326</v>
      </c>
      <c r="B163" s="2">
        <v>45691</v>
      </c>
      <c r="C163" t="s">
        <v>327</v>
      </c>
      <c r="D163" t="s">
        <v>26</v>
      </c>
      <c r="E163">
        <v>37</v>
      </c>
      <c r="F163" t="s">
        <v>78</v>
      </c>
      <c r="G163" t="s">
        <v>82</v>
      </c>
      <c r="H163" t="s">
        <v>42</v>
      </c>
      <c r="I163">
        <v>3</v>
      </c>
      <c r="J163" s="3">
        <v>22800</v>
      </c>
      <c r="K163" t="s">
        <v>68</v>
      </c>
      <c r="L163" t="s">
        <v>31</v>
      </c>
      <c r="M163" s="2">
        <v>45760</v>
      </c>
      <c r="N163" t="s">
        <v>37</v>
      </c>
      <c r="O163">
        <v>4</v>
      </c>
    </row>
    <row r="164" spans="1:15" x14ac:dyDescent="0.25">
      <c r="A164" t="s">
        <v>328</v>
      </c>
      <c r="B164" s="2">
        <v>45987</v>
      </c>
      <c r="C164" t="s">
        <v>286</v>
      </c>
      <c r="D164" t="s">
        <v>17</v>
      </c>
      <c r="E164">
        <v>51</v>
      </c>
      <c r="F164" t="s">
        <v>40</v>
      </c>
      <c r="G164" t="s">
        <v>71</v>
      </c>
      <c r="H164" t="s">
        <v>36</v>
      </c>
      <c r="I164">
        <v>5</v>
      </c>
      <c r="J164" s="3">
        <v>56500</v>
      </c>
      <c r="K164" t="s">
        <v>30</v>
      </c>
      <c r="L164" t="s">
        <v>31</v>
      </c>
      <c r="M164" s="2">
        <v>46012</v>
      </c>
      <c r="N164" t="s">
        <v>43</v>
      </c>
      <c r="O164">
        <v>4</v>
      </c>
    </row>
    <row r="165" spans="1:15" x14ac:dyDescent="0.25">
      <c r="A165" t="s">
        <v>329</v>
      </c>
      <c r="B165" s="2">
        <v>45793</v>
      </c>
      <c r="C165" t="s">
        <v>221</v>
      </c>
      <c r="D165" t="s">
        <v>17</v>
      </c>
      <c r="E165">
        <v>41</v>
      </c>
      <c r="F165" t="s">
        <v>78</v>
      </c>
      <c r="G165" t="s">
        <v>82</v>
      </c>
      <c r="H165" t="s">
        <v>42</v>
      </c>
      <c r="I165">
        <v>3</v>
      </c>
      <c r="J165" s="3">
        <v>22800</v>
      </c>
      <c r="K165" t="s">
        <v>30</v>
      </c>
      <c r="L165" t="s">
        <v>31</v>
      </c>
      <c r="M165" s="2">
        <v>45895</v>
      </c>
      <c r="N165" t="s">
        <v>23</v>
      </c>
      <c r="O165">
        <v>5</v>
      </c>
    </row>
    <row r="166" spans="1:15" x14ac:dyDescent="0.25">
      <c r="A166" t="s">
        <v>330</v>
      </c>
      <c r="B166" s="2">
        <v>45750</v>
      </c>
      <c r="C166" t="s">
        <v>331</v>
      </c>
      <c r="D166" t="s">
        <v>17</v>
      </c>
      <c r="E166">
        <v>31</v>
      </c>
      <c r="F166" t="s">
        <v>78</v>
      </c>
      <c r="G166" t="s">
        <v>79</v>
      </c>
      <c r="H166" t="s">
        <v>29</v>
      </c>
      <c r="I166">
        <v>3</v>
      </c>
      <c r="J166" s="3">
        <v>33500</v>
      </c>
      <c r="K166" t="s">
        <v>30</v>
      </c>
      <c r="L166" t="s">
        <v>31</v>
      </c>
      <c r="M166" s="2">
        <v>45839</v>
      </c>
      <c r="N166" t="s">
        <v>43</v>
      </c>
      <c r="O166">
        <v>4</v>
      </c>
    </row>
    <row r="167" spans="1:15" x14ac:dyDescent="0.25">
      <c r="A167" t="s">
        <v>332</v>
      </c>
      <c r="B167" s="2">
        <v>45768</v>
      </c>
      <c r="C167" t="s">
        <v>333</v>
      </c>
      <c r="D167" t="s">
        <v>17</v>
      </c>
      <c r="E167">
        <v>59</v>
      </c>
      <c r="F167" t="s">
        <v>18</v>
      </c>
      <c r="G167" t="s">
        <v>151</v>
      </c>
      <c r="H167" t="s">
        <v>42</v>
      </c>
      <c r="I167">
        <v>3</v>
      </c>
      <c r="J167" s="3">
        <v>20200</v>
      </c>
      <c r="K167" t="s">
        <v>21</v>
      </c>
      <c r="L167" t="s">
        <v>22</v>
      </c>
      <c r="M167" s="2">
        <v>45844</v>
      </c>
      <c r="N167" t="s">
        <v>37</v>
      </c>
      <c r="O167">
        <v>4</v>
      </c>
    </row>
    <row r="168" spans="1:15" x14ac:dyDescent="0.25">
      <c r="A168" t="s">
        <v>334</v>
      </c>
      <c r="B168" s="2">
        <v>45815</v>
      </c>
      <c r="C168" t="s">
        <v>335</v>
      </c>
      <c r="D168" t="s">
        <v>26</v>
      </c>
      <c r="E168">
        <v>19</v>
      </c>
      <c r="F168" t="s">
        <v>142</v>
      </c>
      <c r="G168" t="s">
        <v>159</v>
      </c>
      <c r="H168" t="s">
        <v>42</v>
      </c>
      <c r="I168">
        <v>1</v>
      </c>
      <c r="J168" s="3">
        <v>7100</v>
      </c>
      <c r="K168" t="s">
        <v>21</v>
      </c>
      <c r="L168" t="s">
        <v>31</v>
      </c>
      <c r="M168" s="2">
        <v>45880</v>
      </c>
      <c r="N168" t="s">
        <v>32</v>
      </c>
      <c r="O168">
        <v>4</v>
      </c>
    </row>
    <row r="169" spans="1:15" x14ac:dyDescent="0.25">
      <c r="A169" t="s">
        <v>336</v>
      </c>
      <c r="B169" s="2">
        <v>45757</v>
      </c>
      <c r="C169" t="s">
        <v>231</v>
      </c>
      <c r="D169" t="s">
        <v>17</v>
      </c>
      <c r="E169">
        <v>22</v>
      </c>
      <c r="F169" t="s">
        <v>78</v>
      </c>
      <c r="G169" t="s">
        <v>79</v>
      </c>
      <c r="H169" t="s">
        <v>29</v>
      </c>
      <c r="I169">
        <v>6</v>
      </c>
      <c r="J169" s="3">
        <v>59900</v>
      </c>
      <c r="K169" t="s">
        <v>21</v>
      </c>
      <c r="L169" t="s">
        <v>31</v>
      </c>
      <c r="M169" s="2">
        <v>45869</v>
      </c>
      <c r="N169" t="s">
        <v>23</v>
      </c>
      <c r="O169">
        <v>5</v>
      </c>
    </row>
    <row r="170" spans="1:15" x14ac:dyDescent="0.25">
      <c r="A170" t="s">
        <v>337</v>
      </c>
      <c r="B170" s="2">
        <v>45991</v>
      </c>
      <c r="C170" t="s">
        <v>228</v>
      </c>
      <c r="D170" t="s">
        <v>26</v>
      </c>
      <c r="E170">
        <v>24</v>
      </c>
      <c r="F170" t="s">
        <v>59</v>
      </c>
      <c r="G170" t="s">
        <v>85</v>
      </c>
      <c r="H170" t="s">
        <v>29</v>
      </c>
      <c r="I170">
        <v>4</v>
      </c>
      <c r="J170" s="3">
        <v>40400</v>
      </c>
      <c r="K170" t="s">
        <v>30</v>
      </c>
      <c r="L170" t="s">
        <v>31</v>
      </c>
      <c r="M170" s="2">
        <v>46103</v>
      </c>
      <c r="N170" t="s">
        <v>64</v>
      </c>
      <c r="O170">
        <v>5</v>
      </c>
    </row>
    <row r="171" spans="1:15" x14ac:dyDescent="0.25">
      <c r="A171" t="s">
        <v>338</v>
      </c>
      <c r="B171" s="2">
        <v>45842</v>
      </c>
      <c r="C171" t="s">
        <v>296</v>
      </c>
      <c r="D171" t="s">
        <v>26</v>
      </c>
      <c r="E171">
        <v>46</v>
      </c>
      <c r="F171" t="s">
        <v>59</v>
      </c>
      <c r="G171" t="s">
        <v>96</v>
      </c>
      <c r="H171" t="s">
        <v>36</v>
      </c>
      <c r="I171">
        <v>4</v>
      </c>
      <c r="J171" s="3">
        <v>42300</v>
      </c>
      <c r="K171" t="s">
        <v>30</v>
      </c>
      <c r="L171" t="s">
        <v>31</v>
      </c>
      <c r="M171" s="2">
        <v>45905</v>
      </c>
      <c r="N171" t="s">
        <v>64</v>
      </c>
      <c r="O171">
        <v>4</v>
      </c>
    </row>
    <row r="172" spans="1:15" x14ac:dyDescent="0.25">
      <c r="A172" t="s">
        <v>339</v>
      </c>
      <c r="B172" s="2">
        <v>45911</v>
      </c>
      <c r="C172" t="s">
        <v>209</v>
      </c>
      <c r="D172" t="s">
        <v>26</v>
      </c>
      <c r="E172">
        <v>28</v>
      </c>
      <c r="F172" t="s">
        <v>92</v>
      </c>
      <c r="G172" t="s">
        <v>108</v>
      </c>
      <c r="H172" t="s">
        <v>36</v>
      </c>
      <c r="I172">
        <v>3</v>
      </c>
      <c r="J172" s="3">
        <v>37600</v>
      </c>
      <c r="K172" t="s">
        <v>68</v>
      </c>
      <c r="L172" t="s">
        <v>31</v>
      </c>
      <c r="M172" s="2">
        <v>45941</v>
      </c>
      <c r="N172" t="s">
        <v>64</v>
      </c>
      <c r="O172">
        <v>5</v>
      </c>
    </row>
    <row r="173" spans="1:15" x14ac:dyDescent="0.25">
      <c r="A173" t="s">
        <v>340</v>
      </c>
      <c r="B173" s="2">
        <v>45938</v>
      </c>
      <c r="C173" t="s">
        <v>341</v>
      </c>
      <c r="D173" t="s">
        <v>17</v>
      </c>
      <c r="E173">
        <v>58</v>
      </c>
      <c r="F173" t="s">
        <v>18</v>
      </c>
      <c r="G173" t="s">
        <v>67</v>
      </c>
      <c r="H173" t="s">
        <v>36</v>
      </c>
      <c r="I173">
        <v>6</v>
      </c>
      <c r="J173" s="3">
        <v>59900</v>
      </c>
      <c r="K173" t="s">
        <v>21</v>
      </c>
      <c r="L173" t="s">
        <v>22</v>
      </c>
      <c r="M173" s="2">
        <v>46047</v>
      </c>
      <c r="N173" t="s">
        <v>37</v>
      </c>
      <c r="O173">
        <v>4</v>
      </c>
    </row>
    <row r="174" spans="1:15" x14ac:dyDescent="0.25">
      <c r="A174" t="s">
        <v>342</v>
      </c>
      <c r="B174" s="2">
        <v>45690</v>
      </c>
      <c r="C174" t="s">
        <v>343</v>
      </c>
      <c r="D174" t="s">
        <v>17</v>
      </c>
      <c r="E174">
        <v>60</v>
      </c>
      <c r="F174" t="s">
        <v>46</v>
      </c>
      <c r="G174" t="s">
        <v>51</v>
      </c>
      <c r="H174" t="s">
        <v>20</v>
      </c>
      <c r="I174">
        <v>5</v>
      </c>
      <c r="J174" s="3">
        <v>43900</v>
      </c>
      <c r="K174" t="s">
        <v>63</v>
      </c>
      <c r="L174" t="s">
        <v>31</v>
      </c>
      <c r="M174" s="2">
        <v>45773</v>
      </c>
      <c r="N174" t="s">
        <v>32</v>
      </c>
      <c r="O174">
        <v>5</v>
      </c>
    </row>
    <row r="175" spans="1:15" x14ac:dyDescent="0.25">
      <c r="A175" t="s">
        <v>344</v>
      </c>
      <c r="B175" s="2">
        <v>45989</v>
      </c>
      <c r="C175" t="s">
        <v>345</v>
      </c>
      <c r="D175" t="s">
        <v>17</v>
      </c>
      <c r="E175">
        <v>41</v>
      </c>
      <c r="F175" t="s">
        <v>18</v>
      </c>
      <c r="G175" t="s">
        <v>151</v>
      </c>
      <c r="H175" t="s">
        <v>42</v>
      </c>
      <c r="I175">
        <v>4</v>
      </c>
      <c r="J175" s="3">
        <v>29800</v>
      </c>
      <c r="K175" t="s">
        <v>30</v>
      </c>
      <c r="L175" t="s">
        <v>22</v>
      </c>
      <c r="M175" s="2">
        <v>46020</v>
      </c>
      <c r="N175" t="s">
        <v>37</v>
      </c>
      <c r="O175">
        <v>5</v>
      </c>
    </row>
    <row r="176" spans="1:15" x14ac:dyDescent="0.25">
      <c r="A176" t="s">
        <v>346</v>
      </c>
      <c r="B176" s="2">
        <v>46016</v>
      </c>
      <c r="C176" t="s">
        <v>248</v>
      </c>
      <c r="D176" t="s">
        <v>17</v>
      </c>
      <c r="E176">
        <v>30</v>
      </c>
      <c r="F176" t="s">
        <v>40</v>
      </c>
      <c r="G176" t="s">
        <v>54</v>
      </c>
      <c r="H176" t="s">
        <v>20</v>
      </c>
      <c r="I176">
        <v>1</v>
      </c>
      <c r="J176" s="3">
        <v>13000</v>
      </c>
      <c r="K176" t="s">
        <v>63</v>
      </c>
      <c r="L176" t="s">
        <v>31</v>
      </c>
      <c r="M176" s="2">
        <v>46046</v>
      </c>
      <c r="N176" t="s">
        <v>43</v>
      </c>
      <c r="O176">
        <v>5</v>
      </c>
    </row>
    <row r="177" spans="1:15" x14ac:dyDescent="0.25">
      <c r="A177" t="s">
        <v>347</v>
      </c>
      <c r="B177" s="2">
        <v>45923</v>
      </c>
      <c r="C177" t="s">
        <v>348</v>
      </c>
      <c r="D177" t="s">
        <v>17</v>
      </c>
      <c r="E177">
        <v>20</v>
      </c>
      <c r="F177" t="s">
        <v>46</v>
      </c>
      <c r="G177" t="s">
        <v>47</v>
      </c>
      <c r="H177" t="s">
        <v>48</v>
      </c>
      <c r="I177">
        <v>4</v>
      </c>
      <c r="J177" s="3">
        <v>23600</v>
      </c>
      <c r="K177" t="s">
        <v>68</v>
      </c>
      <c r="L177" t="s">
        <v>31</v>
      </c>
      <c r="M177" s="2">
        <v>45931</v>
      </c>
      <c r="N177" t="s">
        <v>57</v>
      </c>
      <c r="O177">
        <v>5</v>
      </c>
    </row>
    <row r="178" spans="1:15" x14ac:dyDescent="0.25">
      <c r="A178" t="s">
        <v>349</v>
      </c>
      <c r="B178" s="2">
        <v>45884</v>
      </c>
      <c r="C178" t="s">
        <v>153</v>
      </c>
      <c r="D178" t="s">
        <v>17</v>
      </c>
      <c r="E178">
        <v>20</v>
      </c>
      <c r="F178" t="s">
        <v>92</v>
      </c>
      <c r="G178" t="s">
        <v>93</v>
      </c>
      <c r="H178" t="s">
        <v>20</v>
      </c>
      <c r="I178">
        <v>5</v>
      </c>
      <c r="J178" s="3">
        <v>53800</v>
      </c>
      <c r="K178" t="s">
        <v>30</v>
      </c>
      <c r="L178" t="s">
        <v>22</v>
      </c>
      <c r="M178" s="2">
        <v>45896</v>
      </c>
      <c r="N178" t="s">
        <v>32</v>
      </c>
      <c r="O178">
        <v>5</v>
      </c>
    </row>
    <row r="179" spans="1:15" x14ac:dyDescent="0.25">
      <c r="A179" t="s">
        <v>350</v>
      </c>
      <c r="B179" s="2">
        <v>45897</v>
      </c>
      <c r="C179" t="s">
        <v>351</v>
      </c>
      <c r="D179" t="s">
        <v>26</v>
      </c>
      <c r="E179">
        <v>19</v>
      </c>
      <c r="F179" t="s">
        <v>78</v>
      </c>
      <c r="G179" t="s">
        <v>79</v>
      </c>
      <c r="H179" t="s">
        <v>29</v>
      </c>
      <c r="I179">
        <v>6</v>
      </c>
      <c r="J179" s="3">
        <v>55300</v>
      </c>
      <c r="K179" t="s">
        <v>63</v>
      </c>
      <c r="L179" t="s">
        <v>31</v>
      </c>
      <c r="M179" s="2">
        <v>45978</v>
      </c>
      <c r="N179" t="s">
        <v>64</v>
      </c>
      <c r="O179">
        <v>4</v>
      </c>
    </row>
    <row r="180" spans="1:15" x14ac:dyDescent="0.25">
      <c r="A180" t="s">
        <v>352</v>
      </c>
      <c r="B180" s="2">
        <v>45970</v>
      </c>
      <c r="C180" t="s">
        <v>353</v>
      </c>
      <c r="D180" t="s">
        <v>17</v>
      </c>
      <c r="E180">
        <v>23</v>
      </c>
      <c r="F180" t="s">
        <v>142</v>
      </c>
      <c r="G180" t="s">
        <v>143</v>
      </c>
      <c r="H180" t="s">
        <v>36</v>
      </c>
      <c r="I180">
        <v>6</v>
      </c>
      <c r="J180" s="3">
        <v>55200</v>
      </c>
      <c r="K180" t="s">
        <v>21</v>
      </c>
      <c r="L180" t="s">
        <v>31</v>
      </c>
      <c r="M180" s="2">
        <v>46017</v>
      </c>
      <c r="N180" t="s">
        <v>57</v>
      </c>
      <c r="O180">
        <v>5</v>
      </c>
    </row>
    <row r="181" spans="1:15" x14ac:dyDescent="0.25">
      <c r="A181" t="s">
        <v>354</v>
      </c>
      <c r="B181" s="2">
        <v>45798</v>
      </c>
      <c r="C181" t="s">
        <v>355</v>
      </c>
      <c r="D181" t="s">
        <v>17</v>
      </c>
      <c r="E181">
        <v>30</v>
      </c>
      <c r="F181" t="s">
        <v>142</v>
      </c>
      <c r="G181" t="s">
        <v>179</v>
      </c>
      <c r="H181" t="s">
        <v>29</v>
      </c>
      <c r="I181">
        <v>1</v>
      </c>
      <c r="J181" s="3">
        <v>8400</v>
      </c>
      <c r="K181" t="s">
        <v>21</v>
      </c>
      <c r="L181" t="s">
        <v>31</v>
      </c>
      <c r="M181" s="2">
        <v>45866</v>
      </c>
      <c r="N181" t="s">
        <v>37</v>
      </c>
      <c r="O181">
        <v>5</v>
      </c>
    </row>
    <row r="182" spans="1:15" x14ac:dyDescent="0.25">
      <c r="A182" t="s">
        <v>356</v>
      </c>
      <c r="B182" s="2">
        <v>45905</v>
      </c>
      <c r="C182" t="s">
        <v>321</v>
      </c>
      <c r="D182" t="s">
        <v>26</v>
      </c>
      <c r="E182">
        <v>35</v>
      </c>
      <c r="F182" t="s">
        <v>27</v>
      </c>
      <c r="G182" t="s">
        <v>28</v>
      </c>
      <c r="H182" t="s">
        <v>29</v>
      </c>
      <c r="I182">
        <v>4</v>
      </c>
      <c r="J182" s="3">
        <v>31900</v>
      </c>
      <c r="K182" t="s">
        <v>30</v>
      </c>
      <c r="L182" t="s">
        <v>31</v>
      </c>
      <c r="M182" s="2">
        <v>46010</v>
      </c>
      <c r="N182" t="s">
        <v>64</v>
      </c>
      <c r="O182">
        <v>5</v>
      </c>
    </row>
    <row r="183" spans="1:15" x14ac:dyDescent="0.25">
      <c r="A183" t="s">
        <v>357</v>
      </c>
      <c r="B183" s="2">
        <v>45907</v>
      </c>
      <c r="C183" t="s">
        <v>358</v>
      </c>
      <c r="D183" t="s">
        <v>17</v>
      </c>
      <c r="E183">
        <v>18</v>
      </c>
      <c r="F183" t="s">
        <v>46</v>
      </c>
      <c r="G183" t="s">
        <v>47</v>
      </c>
      <c r="H183" t="s">
        <v>48</v>
      </c>
      <c r="I183">
        <v>2</v>
      </c>
      <c r="J183" s="3">
        <v>10800</v>
      </c>
      <c r="K183" t="s">
        <v>30</v>
      </c>
      <c r="L183" t="s">
        <v>31</v>
      </c>
      <c r="M183" s="2">
        <v>46019</v>
      </c>
      <c r="N183" t="s">
        <v>57</v>
      </c>
      <c r="O183">
        <v>5</v>
      </c>
    </row>
    <row r="184" spans="1:15" x14ac:dyDescent="0.25">
      <c r="A184" t="s">
        <v>359</v>
      </c>
      <c r="B184" s="2">
        <v>45870</v>
      </c>
      <c r="C184" t="s">
        <v>89</v>
      </c>
      <c r="D184" t="s">
        <v>17</v>
      </c>
      <c r="E184">
        <v>31</v>
      </c>
      <c r="F184" t="s">
        <v>59</v>
      </c>
      <c r="G184" t="s">
        <v>85</v>
      </c>
      <c r="H184" t="s">
        <v>29</v>
      </c>
      <c r="I184">
        <v>5</v>
      </c>
      <c r="J184" s="3">
        <v>44100</v>
      </c>
      <c r="K184" t="s">
        <v>68</v>
      </c>
      <c r="L184" t="s">
        <v>31</v>
      </c>
      <c r="M184" s="2">
        <v>45950</v>
      </c>
      <c r="N184" t="s">
        <v>57</v>
      </c>
      <c r="O184">
        <v>5</v>
      </c>
    </row>
    <row r="185" spans="1:15" x14ac:dyDescent="0.25">
      <c r="A185" t="s">
        <v>360</v>
      </c>
      <c r="B185" s="2">
        <v>45920</v>
      </c>
      <c r="C185" t="s">
        <v>153</v>
      </c>
      <c r="D185" t="s">
        <v>17</v>
      </c>
      <c r="E185">
        <v>36</v>
      </c>
      <c r="F185" t="s">
        <v>142</v>
      </c>
      <c r="G185" t="s">
        <v>143</v>
      </c>
      <c r="H185" t="s">
        <v>36</v>
      </c>
      <c r="I185">
        <v>1</v>
      </c>
      <c r="J185" s="3">
        <v>8400</v>
      </c>
      <c r="K185" t="s">
        <v>63</v>
      </c>
      <c r="L185" t="s">
        <v>31</v>
      </c>
      <c r="M185" s="2">
        <v>45995</v>
      </c>
      <c r="N185" t="s">
        <v>32</v>
      </c>
      <c r="O185">
        <v>4</v>
      </c>
    </row>
    <row r="186" spans="1:15" x14ac:dyDescent="0.25">
      <c r="A186" t="s">
        <v>361</v>
      </c>
      <c r="B186" s="2">
        <v>45991</v>
      </c>
      <c r="C186" t="s">
        <v>45</v>
      </c>
      <c r="D186" t="s">
        <v>17</v>
      </c>
      <c r="E186">
        <v>58</v>
      </c>
      <c r="F186" t="s">
        <v>46</v>
      </c>
      <c r="G186" t="s">
        <v>47</v>
      </c>
      <c r="H186" t="s">
        <v>48</v>
      </c>
      <c r="I186">
        <v>2</v>
      </c>
      <c r="J186" s="3">
        <v>11500</v>
      </c>
      <c r="K186" t="s">
        <v>68</v>
      </c>
      <c r="L186" t="s">
        <v>31</v>
      </c>
      <c r="M186" s="2">
        <v>46045</v>
      </c>
      <c r="N186" t="s">
        <v>57</v>
      </c>
      <c r="O186">
        <v>3</v>
      </c>
    </row>
    <row r="187" spans="1:15" x14ac:dyDescent="0.25">
      <c r="A187" t="s">
        <v>362</v>
      </c>
      <c r="B187" s="2">
        <v>46005</v>
      </c>
      <c r="C187" t="s">
        <v>363</v>
      </c>
      <c r="D187" t="s">
        <v>26</v>
      </c>
      <c r="E187">
        <v>40</v>
      </c>
      <c r="F187" t="s">
        <v>40</v>
      </c>
      <c r="G187" t="s">
        <v>41</v>
      </c>
      <c r="H187" t="s">
        <v>42</v>
      </c>
      <c r="I187">
        <v>4</v>
      </c>
      <c r="J187" s="3">
        <v>45100</v>
      </c>
      <c r="K187" t="s">
        <v>63</v>
      </c>
      <c r="L187" t="s">
        <v>31</v>
      </c>
      <c r="M187" s="2">
        <v>46072</v>
      </c>
      <c r="N187" t="s">
        <v>57</v>
      </c>
      <c r="O187">
        <v>3</v>
      </c>
    </row>
    <row r="188" spans="1:15" x14ac:dyDescent="0.25">
      <c r="A188" t="s">
        <v>364</v>
      </c>
      <c r="B188" s="2">
        <v>46022</v>
      </c>
      <c r="C188" t="s">
        <v>132</v>
      </c>
      <c r="D188" t="s">
        <v>17</v>
      </c>
      <c r="E188">
        <v>45</v>
      </c>
      <c r="F188" t="s">
        <v>18</v>
      </c>
      <c r="G188" t="s">
        <v>67</v>
      </c>
      <c r="H188" t="s">
        <v>36</v>
      </c>
      <c r="I188">
        <v>5</v>
      </c>
      <c r="J188" s="3">
        <v>48100</v>
      </c>
      <c r="K188" t="s">
        <v>63</v>
      </c>
      <c r="L188" t="s">
        <v>31</v>
      </c>
      <c r="M188" s="2">
        <v>46073</v>
      </c>
      <c r="N188" t="s">
        <v>57</v>
      </c>
      <c r="O188">
        <v>5</v>
      </c>
    </row>
    <row r="189" spans="1:15" x14ac:dyDescent="0.25">
      <c r="A189" t="s">
        <v>365</v>
      </c>
      <c r="B189" s="2">
        <v>45980</v>
      </c>
      <c r="C189" t="s">
        <v>366</v>
      </c>
      <c r="D189" t="s">
        <v>26</v>
      </c>
      <c r="E189">
        <v>37</v>
      </c>
      <c r="F189" t="s">
        <v>78</v>
      </c>
      <c r="G189" t="s">
        <v>82</v>
      </c>
      <c r="H189" t="s">
        <v>42</v>
      </c>
      <c r="I189">
        <v>1</v>
      </c>
      <c r="J189" s="3">
        <v>6400</v>
      </c>
      <c r="K189" t="s">
        <v>21</v>
      </c>
      <c r="L189" t="s">
        <v>31</v>
      </c>
      <c r="M189" s="2">
        <v>46098</v>
      </c>
      <c r="N189" t="s">
        <v>43</v>
      </c>
      <c r="O189">
        <v>5</v>
      </c>
    </row>
    <row r="190" spans="1:15" x14ac:dyDescent="0.25">
      <c r="A190" t="s">
        <v>367</v>
      </c>
      <c r="B190" s="2">
        <v>45888</v>
      </c>
      <c r="C190" t="s">
        <v>50</v>
      </c>
      <c r="D190" t="s">
        <v>26</v>
      </c>
      <c r="E190">
        <v>21</v>
      </c>
      <c r="F190" t="s">
        <v>92</v>
      </c>
      <c r="G190" t="s">
        <v>108</v>
      </c>
      <c r="H190" t="s">
        <v>36</v>
      </c>
      <c r="I190">
        <v>2</v>
      </c>
      <c r="J190" s="3">
        <v>21700</v>
      </c>
      <c r="K190" t="s">
        <v>68</v>
      </c>
      <c r="L190" t="s">
        <v>31</v>
      </c>
      <c r="M190" s="2">
        <v>45946</v>
      </c>
      <c r="N190" t="s">
        <v>37</v>
      </c>
      <c r="O190">
        <v>4</v>
      </c>
    </row>
    <row r="191" spans="1:15" x14ac:dyDescent="0.25">
      <c r="A191" t="s">
        <v>368</v>
      </c>
      <c r="B191" s="2">
        <v>45971</v>
      </c>
      <c r="C191" t="s">
        <v>369</v>
      </c>
      <c r="D191" t="s">
        <v>17</v>
      </c>
      <c r="E191">
        <v>31</v>
      </c>
      <c r="F191" t="s">
        <v>99</v>
      </c>
      <c r="G191" t="s">
        <v>249</v>
      </c>
      <c r="H191" t="s">
        <v>36</v>
      </c>
      <c r="I191">
        <v>5</v>
      </c>
      <c r="J191" s="3">
        <v>38900</v>
      </c>
      <c r="K191" t="s">
        <v>63</v>
      </c>
      <c r="L191" t="s">
        <v>31</v>
      </c>
      <c r="M191" s="2">
        <v>46086</v>
      </c>
      <c r="N191" t="s">
        <v>64</v>
      </c>
      <c r="O191">
        <v>5</v>
      </c>
    </row>
    <row r="192" spans="1:15" x14ac:dyDescent="0.25">
      <c r="A192" t="s">
        <v>370</v>
      </c>
      <c r="B192" s="2">
        <v>45659</v>
      </c>
      <c r="C192" t="s">
        <v>371</v>
      </c>
      <c r="D192" t="s">
        <v>17</v>
      </c>
      <c r="E192">
        <v>32</v>
      </c>
      <c r="F192" t="s">
        <v>40</v>
      </c>
      <c r="G192" t="s">
        <v>41</v>
      </c>
      <c r="H192" t="s">
        <v>42</v>
      </c>
      <c r="I192">
        <v>5</v>
      </c>
      <c r="J192" s="3">
        <v>45000</v>
      </c>
      <c r="K192" t="s">
        <v>30</v>
      </c>
      <c r="L192" t="s">
        <v>31</v>
      </c>
      <c r="M192" s="2">
        <v>45737</v>
      </c>
      <c r="N192" t="s">
        <v>23</v>
      </c>
      <c r="O192">
        <v>5</v>
      </c>
    </row>
    <row r="193" spans="1:15" x14ac:dyDescent="0.25">
      <c r="A193" t="s">
        <v>372</v>
      </c>
      <c r="B193" s="2">
        <v>45803</v>
      </c>
      <c r="C193" t="s">
        <v>62</v>
      </c>
      <c r="D193" t="s">
        <v>17</v>
      </c>
      <c r="E193">
        <v>41</v>
      </c>
      <c r="F193" t="s">
        <v>46</v>
      </c>
      <c r="G193" t="s">
        <v>51</v>
      </c>
      <c r="H193" t="s">
        <v>20</v>
      </c>
      <c r="I193">
        <v>3</v>
      </c>
      <c r="J193" s="3">
        <v>27500</v>
      </c>
      <c r="K193" t="s">
        <v>68</v>
      </c>
      <c r="L193" t="s">
        <v>22</v>
      </c>
      <c r="M193" s="2">
        <v>45919</v>
      </c>
      <c r="N193" t="s">
        <v>23</v>
      </c>
      <c r="O193">
        <v>5</v>
      </c>
    </row>
    <row r="194" spans="1:15" x14ac:dyDescent="0.25">
      <c r="A194" t="s">
        <v>373</v>
      </c>
      <c r="B194" s="2">
        <v>45934</v>
      </c>
      <c r="C194" t="s">
        <v>348</v>
      </c>
      <c r="D194" t="s">
        <v>26</v>
      </c>
      <c r="E194">
        <v>58</v>
      </c>
      <c r="F194" t="s">
        <v>27</v>
      </c>
      <c r="G194" t="s">
        <v>28</v>
      </c>
      <c r="H194" t="s">
        <v>29</v>
      </c>
      <c r="I194">
        <v>1</v>
      </c>
      <c r="J194" s="3">
        <v>9400</v>
      </c>
      <c r="K194" t="s">
        <v>68</v>
      </c>
      <c r="L194" t="s">
        <v>22</v>
      </c>
      <c r="M194" s="2">
        <v>45997</v>
      </c>
      <c r="N194" t="s">
        <v>23</v>
      </c>
      <c r="O194">
        <v>3</v>
      </c>
    </row>
    <row r="195" spans="1:15" x14ac:dyDescent="0.25">
      <c r="A195" t="s">
        <v>374</v>
      </c>
      <c r="B195" s="2">
        <v>45784</v>
      </c>
      <c r="C195" t="s">
        <v>375</v>
      </c>
      <c r="D195" t="s">
        <v>26</v>
      </c>
      <c r="E195">
        <v>38</v>
      </c>
      <c r="F195" t="s">
        <v>46</v>
      </c>
      <c r="G195" t="s">
        <v>51</v>
      </c>
      <c r="H195" t="s">
        <v>20</v>
      </c>
      <c r="I195">
        <v>2</v>
      </c>
      <c r="J195" s="3">
        <v>19400</v>
      </c>
      <c r="K195" t="s">
        <v>21</v>
      </c>
      <c r="L195" t="s">
        <v>22</v>
      </c>
      <c r="M195" s="2">
        <v>45888</v>
      </c>
      <c r="N195" t="s">
        <v>32</v>
      </c>
      <c r="O195">
        <v>3</v>
      </c>
    </row>
    <row r="196" spans="1:15" x14ac:dyDescent="0.25">
      <c r="A196" t="s">
        <v>376</v>
      </c>
      <c r="B196" s="2">
        <v>45716</v>
      </c>
      <c r="C196" t="s">
        <v>56</v>
      </c>
      <c r="D196" t="s">
        <v>26</v>
      </c>
      <c r="E196">
        <v>27</v>
      </c>
      <c r="F196" t="s">
        <v>78</v>
      </c>
      <c r="G196" t="s">
        <v>82</v>
      </c>
      <c r="H196" t="s">
        <v>42</v>
      </c>
      <c r="I196">
        <v>6</v>
      </c>
      <c r="J196" s="3">
        <v>49200</v>
      </c>
      <c r="K196" t="s">
        <v>30</v>
      </c>
      <c r="L196" t="s">
        <v>31</v>
      </c>
      <c r="M196" s="2">
        <v>45797</v>
      </c>
      <c r="N196" t="s">
        <v>64</v>
      </c>
      <c r="O196">
        <v>5</v>
      </c>
    </row>
    <row r="197" spans="1:15" x14ac:dyDescent="0.25">
      <c r="A197" t="s">
        <v>377</v>
      </c>
      <c r="B197" s="2">
        <v>46021</v>
      </c>
      <c r="C197" t="s">
        <v>378</v>
      </c>
      <c r="D197" t="s">
        <v>26</v>
      </c>
      <c r="E197">
        <v>48</v>
      </c>
      <c r="F197" t="s">
        <v>92</v>
      </c>
      <c r="G197" t="s">
        <v>162</v>
      </c>
      <c r="H197" t="s">
        <v>42</v>
      </c>
      <c r="I197">
        <v>4</v>
      </c>
      <c r="J197" s="3">
        <v>41100</v>
      </c>
      <c r="K197" t="s">
        <v>68</v>
      </c>
      <c r="L197" t="s">
        <v>31</v>
      </c>
      <c r="M197" s="2">
        <v>46092</v>
      </c>
      <c r="N197" t="s">
        <v>57</v>
      </c>
      <c r="O197">
        <v>5</v>
      </c>
    </row>
    <row r="198" spans="1:15" x14ac:dyDescent="0.25">
      <c r="A198" t="s">
        <v>379</v>
      </c>
      <c r="B198" s="2">
        <v>45933</v>
      </c>
      <c r="C198" t="s">
        <v>380</v>
      </c>
      <c r="D198" t="s">
        <v>17</v>
      </c>
      <c r="E198">
        <v>35</v>
      </c>
      <c r="F198" t="s">
        <v>40</v>
      </c>
      <c r="G198" t="s">
        <v>41</v>
      </c>
      <c r="H198" t="s">
        <v>42</v>
      </c>
      <c r="I198">
        <v>4</v>
      </c>
      <c r="J198" s="3">
        <v>40000</v>
      </c>
      <c r="K198" t="s">
        <v>30</v>
      </c>
      <c r="L198" t="s">
        <v>31</v>
      </c>
      <c r="M198" s="2">
        <v>46003</v>
      </c>
      <c r="N198" t="s">
        <v>43</v>
      </c>
      <c r="O198">
        <v>5</v>
      </c>
    </row>
    <row r="199" spans="1:15" x14ac:dyDescent="0.25">
      <c r="A199" t="s">
        <v>381</v>
      </c>
      <c r="B199" s="2">
        <v>45873</v>
      </c>
      <c r="C199" t="s">
        <v>382</v>
      </c>
      <c r="D199" t="s">
        <v>26</v>
      </c>
      <c r="E199">
        <v>49</v>
      </c>
      <c r="F199" t="s">
        <v>78</v>
      </c>
      <c r="G199" t="s">
        <v>82</v>
      </c>
      <c r="H199" t="s">
        <v>42</v>
      </c>
      <c r="I199">
        <v>3</v>
      </c>
      <c r="J199" s="3">
        <v>20300</v>
      </c>
      <c r="K199" t="s">
        <v>68</v>
      </c>
      <c r="L199" t="s">
        <v>31</v>
      </c>
      <c r="M199" s="2">
        <v>45891</v>
      </c>
      <c r="N199" t="s">
        <v>43</v>
      </c>
      <c r="O199">
        <v>5</v>
      </c>
    </row>
    <row r="200" spans="1:15" x14ac:dyDescent="0.25">
      <c r="A200" t="s">
        <v>383</v>
      </c>
      <c r="B200" s="2">
        <v>45727</v>
      </c>
      <c r="C200" t="s">
        <v>147</v>
      </c>
      <c r="D200" t="s">
        <v>17</v>
      </c>
      <c r="E200">
        <v>59</v>
      </c>
      <c r="F200" t="s">
        <v>92</v>
      </c>
      <c r="G200" t="s">
        <v>162</v>
      </c>
      <c r="H200" t="s">
        <v>42</v>
      </c>
      <c r="I200">
        <v>1</v>
      </c>
      <c r="J200" s="3">
        <v>12300</v>
      </c>
      <c r="K200" t="s">
        <v>30</v>
      </c>
      <c r="L200" t="s">
        <v>31</v>
      </c>
      <c r="M200" s="2">
        <v>45785</v>
      </c>
      <c r="N200" t="s">
        <v>32</v>
      </c>
      <c r="O200">
        <v>5</v>
      </c>
    </row>
    <row r="201" spans="1:15" x14ac:dyDescent="0.25">
      <c r="A201" t="s">
        <v>384</v>
      </c>
      <c r="B201" s="2">
        <v>45841</v>
      </c>
      <c r="C201" t="s">
        <v>385</v>
      </c>
      <c r="D201" t="s">
        <v>17</v>
      </c>
      <c r="E201">
        <v>52</v>
      </c>
      <c r="F201" t="s">
        <v>92</v>
      </c>
      <c r="G201" t="s">
        <v>162</v>
      </c>
      <c r="H201" t="s">
        <v>42</v>
      </c>
      <c r="I201">
        <v>1</v>
      </c>
      <c r="J201" s="3">
        <v>10400</v>
      </c>
      <c r="K201" t="s">
        <v>68</v>
      </c>
      <c r="L201" t="s">
        <v>22</v>
      </c>
      <c r="M201" s="2">
        <v>45876</v>
      </c>
      <c r="N201" t="s">
        <v>23</v>
      </c>
      <c r="O201">
        <v>5</v>
      </c>
    </row>
    <row r="202" spans="1:15" x14ac:dyDescent="0.25">
      <c r="A202" t="s">
        <v>386</v>
      </c>
      <c r="B202" s="2">
        <v>45672</v>
      </c>
      <c r="C202" t="s">
        <v>321</v>
      </c>
      <c r="D202" t="s">
        <v>17</v>
      </c>
      <c r="E202">
        <v>39</v>
      </c>
      <c r="F202" t="s">
        <v>46</v>
      </c>
      <c r="G202" t="s">
        <v>51</v>
      </c>
      <c r="H202" t="s">
        <v>20</v>
      </c>
      <c r="I202">
        <v>1</v>
      </c>
      <c r="J202" s="3">
        <v>9000</v>
      </c>
      <c r="K202" t="s">
        <v>21</v>
      </c>
      <c r="L202" t="s">
        <v>31</v>
      </c>
      <c r="M202" s="2">
        <v>45792</v>
      </c>
      <c r="N202" t="s">
        <v>32</v>
      </c>
      <c r="O202">
        <v>3</v>
      </c>
    </row>
    <row r="203" spans="1:15" x14ac:dyDescent="0.25">
      <c r="A203" t="s">
        <v>387</v>
      </c>
      <c r="B203" s="2">
        <v>45860</v>
      </c>
      <c r="C203" t="s">
        <v>34</v>
      </c>
      <c r="D203" t="s">
        <v>17</v>
      </c>
      <c r="E203">
        <v>56</v>
      </c>
      <c r="F203" t="s">
        <v>122</v>
      </c>
      <c r="G203" t="s">
        <v>203</v>
      </c>
      <c r="H203" t="s">
        <v>36</v>
      </c>
      <c r="I203">
        <v>4</v>
      </c>
      <c r="J203" s="3">
        <v>42200</v>
      </c>
      <c r="K203" t="s">
        <v>21</v>
      </c>
      <c r="L203" t="s">
        <v>22</v>
      </c>
      <c r="M203" s="2">
        <v>45897</v>
      </c>
      <c r="N203" t="s">
        <v>32</v>
      </c>
      <c r="O203">
        <v>4</v>
      </c>
    </row>
    <row r="204" spans="1:15" x14ac:dyDescent="0.25">
      <c r="A204" t="s">
        <v>388</v>
      </c>
      <c r="B204" s="2">
        <v>45955</v>
      </c>
      <c r="C204" t="s">
        <v>345</v>
      </c>
      <c r="D204" t="s">
        <v>26</v>
      </c>
      <c r="E204">
        <v>36</v>
      </c>
      <c r="F204" t="s">
        <v>27</v>
      </c>
      <c r="G204" t="s">
        <v>28</v>
      </c>
      <c r="H204" t="s">
        <v>29</v>
      </c>
      <c r="I204">
        <v>6</v>
      </c>
      <c r="J204" s="3">
        <v>51800</v>
      </c>
      <c r="K204" t="s">
        <v>68</v>
      </c>
      <c r="L204" t="s">
        <v>31</v>
      </c>
      <c r="M204" s="2">
        <v>46011</v>
      </c>
      <c r="N204" t="s">
        <v>43</v>
      </c>
      <c r="O204">
        <v>5</v>
      </c>
    </row>
    <row r="205" spans="1:15" x14ac:dyDescent="0.25">
      <c r="A205" t="s">
        <v>389</v>
      </c>
      <c r="B205" s="2">
        <v>45953</v>
      </c>
      <c r="C205" t="s">
        <v>375</v>
      </c>
      <c r="D205" t="s">
        <v>26</v>
      </c>
      <c r="E205">
        <v>46</v>
      </c>
      <c r="F205" t="s">
        <v>40</v>
      </c>
      <c r="G205" t="s">
        <v>71</v>
      </c>
      <c r="H205" t="s">
        <v>36</v>
      </c>
      <c r="I205">
        <v>4</v>
      </c>
      <c r="J205" s="3">
        <v>36400</v>
      </c>
      <c r="K205" t="s">
        <v>30</v>
      </c>
      <c r="L205" t="s">
        <v>31</v>
      </c>
      <c r="M205" s="2">
        <v>46055</v>
      </c>
      <c r="N205" t="s">
        <v>32</v>
      </c>
      <c r="O205">
        <v>4</v>
      </c>
    </row>
    <row r="206" spans="1:15" x14ac:dyDescent="0.25">
      <c r="A206" t="s">
        <v>390</v>
      </c>
      <c r="B206" s="2">
        <v>45826</v>
      </c>
      <c r="C206" t="s">
        <v>169</v>
      </c>
      <c r="D206" t="s">
        <v>17</v>
      </c>
      <c r="E206">
        <v>36</v>
      </c>
      <c r="F206" t="s">
        <v>59</v>
      </c>
      <c r="G206" t="s">
        <v>60</v>
      </c>
      <c r="H206" t="s">
        <v>42</v>
      </c>
      <c r="I206">
        <v>4</v>
      </c>
      <c r="J206" s="3">
        <v>35400</v>
      </c>
      <c r="K206" t="s">
        <v>68</v>
      </c>
      <c r="L206" t="s">
        <v>31</v>
      </c>
      <c r="M206" s="2">
        <v>45918</v>
      </c>
      <c r="N206" t="s">
        <v>32</v>
      </c>
      <c r="O206">
        <v>5</v>
      </c>
    </row>
    <row r="207" spans="1:15" x14ac:dyDescent="0.25">
      <c r="A207" t="s">
        <v>391</v>
      </c>
      <c r="B207" s="2">
        <v>45754</v>
      </c>
      <c r="C207" t="s">
        <v>263</v>
      </c>
      <c r="D207" t="s">
        <v>26</v>
      </c>
      <c r="E207">
        <v>31</v>
      </c>
      <c r="F207" t="s">
        <v>99</v>
      </c>
      <c r="G207" t="s">
        <v>105</v>
      </c>
      <c r="H207" t="s">
        <v>29</v>
      </c>
      <c r="I207">
        <v>3</v>
      </c>
      <c r="J207" s="3">
        <v>27000</v>
      </c>
      <c r="K207" t="s">
        <v>63</v>
      </c>
      <c r="L207" t="s">
        <v>31</v>
      </c>
      <c r="M207" s="2">
        <v>45829</v>
      </c>
      <c r="N207" t="s">
        <v>23</v>
      </c>
      <c r="O207">
        <v>5</v>
      </c>
    </row>
    <row r="208" spans="1:15" x14ac:dyDescent="0.25">
      <c r="A208" t="s">
        <v>392</v>
      </c>
      <c r="B208" s="2">
        <v>45821</v>
      </c>
      <c r="C208" t="s">
        <v>302</v>
      </c>
      <c r="D208" t="s">
        <v>26</v>
      </c>
      <c r="E208">
        <v>41</v>
      </c>
      <c r="F208" t="s">
        <v>59</v>
      </c>
      <c r="G208" t="s">
        <v>85</v>
      </c>
      <c r="H208" t="s">
        <v>29</v>
      </c>
      <c r="I208">
        <v>6</v>
      </c>
      <c r="J208" s="3">
        <v>62900</v>
      </c>
      <c r="K208" t="s">
        <v>68</v>
      </c>
      <c r="L208" t="s">
        <v>31</v>
      </c>
      <c r="M208" s="2">
        <v>45841</v>
      </c>
      <c r="N208" t="s">
        <v>32</v>
      </c>
      <c r="O208">
        <v>5</v>
      </c>
    </row>
    <row r="209" spans="1:15" x14ac:dyDescent="0.25">
      <c r="A209" t="s">
        <v>393</v>
      </c>
      <c r="B209" s="2">
        <v>45904</v>
      </c>
      <c r="C209" t="s">
        <v>34</v>
      </c>
      <c r="D209" t="s">
        <v>26</v>
      </c>
      <c r="E209">
        <v>59</v>
      </c>
      <c r="F209" t="s">
        <v>99</v>
      </c>
      <c r="G209" t="s">
        <v>105</v>
      </c>
      <c r="H209" t="s">
        <v>29</v>
      </c>
      <c r="I209">
        <v>5</v>
      </c>
      <c r="J209" s="3">
        <v>49200</v>
      </c>
      <c r="K209" t="s">
        <v>63</v>
      </c>
      <c r="L209" t="s">
        <v>31</v>
      </c>
      <c r="M209" s="2">
        <v>45940</v>
      </c>
      <c r="N209" t="s">
        <v>32</v>
      </c>
      <c r="O209">
        <v>5</v>
      </c>
    </row>
    <row r="210" spans="1:15" x14ac:dyDescent="0.25">
      <c r="A210" t="s">
        <v>394</v>
      </c>
      <c r="B210" s="2">
        <v>45837</v>
      </c>
      <c r="C210" t="s">
        <v>395</v>
      </c>
      <c r="D210" t="s">
        <v>17</v>
      </c>
      <c r="E210">
        <v>45</v>
      </c>
      <c r="F210" t="s">
        <v>27</v>
      </c>
      <c r="G210" t="s">
        <v>192</v>
      </c>
      <c r="H210" t="s">
        <v>42</v>
      </c>
      <c r="I210">
        <v>4</v>
      </c>
      <c r="J210" s="3">
        <v>26900</v>
      </c>
      <c r="K210" t="s">
        <v>30</v>
      </c>
      <c r="L210" t="s">
        <v>31</v>
      </c>
      <c r="M210" s="2">
        <v>45900</v>
      </c>
      <c r="N210" t="s">
        <v>43</v>
      </c>
      <c r="O210">
        <v>5</v>
      </c>
    </row>
    <row r="211" spans="1:15" x14ac:dyDescent="0.25">
      <c r="A211" t="s">
        <v>396</v>
      </c>
      <c r="B211" s="2">
        <v>45723</v>
      </c>
      <c r="C211" t="s">
        <v>45</v>
      </c>
      <c r="D211" t="s">
        <v>26</v>
      </c>
      <c r="E211">
        <v>42</v>
      </c>
      <c r="F211" t="s">
        <v>40</v>
      </c>
      <c r="G211" t="s">
        <v>41</v>
      </c>
      <c r="H211" t="s">
        <v>42</v>
      </c>
      <c r="I211">
        <v>1</v>
      </c>
      <c r="J211" s="3">
        <v>11400</v>
      </c>
      <c r="K211" t="s">
        <v>21</v>
      </c>
      <c r="L211" t="s">
        <v>31</v>
      </c>
      <c r="M211" s="2">
        <v>45786</v>
      </c>
      <c r="N211" t="s">
        <v>64</v>
      </c>
      <c r="O211">
        <v>4</v>
      </c>
    </row>
    <row r="212" spans="1:15" x14ac:dyDescent="0.25">
      <c r="A212" t="s">
        <v>397</v>
      </c>
      <c r="B212" s="2">
        <v>45872</v>
      </c>
      <c r="C212" t="s">
        <v>39</v>
      </c>
      <c r="D212" t="s">
        <v>17</v>
      </c>
      <c r="E212">
        <v>55</v>
      </c>
      <c r="F212" t="s">
        <v>46</v>
      </c>
      <c r="G212" t="s">
        <v>51</v>
      </c>
      <c r="H212" t="s">
        <v>20</v>
      </c>
      <c r="I212">
        <v>4</v>
      </c>
      <c r="J212" s="3">
        <v>39100</v>
      </c>
      <c r="K212" t="s">
        <v>21</v>
      </c>
      <c r="L212" t="s">
        <v>31</v>
      </c>
      <c r="M212" s="2">
        <v>45888</v>
      </c>
      <c r="N212" t="s">
        <v>32</v>
      </c>
      <c r="O212">
        <v>4</v>
      </c>
    </row>
    <row r="213" spans="1:15" x14ac:dyDescent="0.25">
      <c r="A213" t="s">
        <v>398</v>
      </c>
      <c r="B213" s="2">
        <v>45948</v>
      </c>
      <c r="C213" t="s">
        <v>202</v>
      </c>
      <c r="D213" t="s">
        <v>26</v>
      </c>
      <c r="E213">
        <v>48</v>
      </c>
      <c r="F213" t="s">
        <v>27</v>
      </c>
      <c r="G213" t="s">
        <v>35</v>
      </c>
      <c r="H213" t="s">
        <v>36</v>
      </c>
      <c r="I213">
        <v>5</v>
      </c>
      <c r="J213" s="3">
        <v>39000</v>
      </c>
      <c r="K213" t="s">
        <v>21</v>
      </c>
      <c r="L213" t="s">
        <v>31</v>
      </c>
      <c r="M213" s="2">
        <v>46033</v>
      </c>
      <c r="N213" t="s">
        <v>32</v>
      </c>
      <c r="O213">
        <v>5</v>
      </c>
    </row>
    <row r="214" spans="1:15" x14ac:dyDescent="0.25">
      <c r="A214" t="s">
        <v>399</v>
      </c>
      <c r="B214" s="2">
        <v>45727</v>
      </c>
      <c r="C214" t="s">
        <v>200</v>
      </c>
      <c r="D214" t="s">
        <v>17</v>
      </c>
      <c r="E214">
        <v>46</v>
      </c>
      <c r="F214" t="s">
        <v>59</v>
      </c>
      <c r="G214" t="s">
        <v>60</v>
      </c>
      <c r="H214" t="s">
        <v>42</v>
      </c>
      <c r="I214">
        <v>6</v>
      </c>
      <c r="J214" s="3">
        <v>52800</v>
      </c>
      <c r="K214" t="s">
        <v>63</v>
      </c>
      <c r="L214" t="s">
        <v>22</v>
      </c>
      <c r="M214" s="2">
        <v>45773</v>
      </c>
      <c r="N214" t="s">
        <v>37</v>
      </c>
      <c r="O214">
        <v>5</v>
      </c>
    </row>
    <row r="215" spans="1:15" x14ac:dyDescent="0.25">
      <c r="A215" t="s">
        <v>400</v>
      </c>
      <c r="B215" s="2">
        <v>45938</v>
      </c>
      <c r="C215" t="s">
        <v>395</v>
      </c>
      <c r="D215" t="s">
        <v>26</v>
      </c>
      <c r="E215">
        <v>37</v>
      </c>
      <c r="F215" t="s">
        <v>99</v>
      </c>
      <c r="G215" t="s">
        <v>105</v>
      </c>
      <c r="H215" t="s">
        <v>29</v>
      </c>
      <c r="I215">
        <v>5</v>
      </c>
      <c r="J215" s="3">
        <v>41800</v>
      </c>
      <c r="K215" t="s">
        <v>68</v>
      </c>
      <c r="L215" t="s">
        <v>22</v>
      </c>
      <c r="M215" s="2">
        <v>46044</v>
      </c>
      <c r="N215" t="s">
        <v>32</v>
      </c>
      <c r="O215">
        <v>5</v>
      </c>
    </row>
    <row r="216" spans="1:15" x14ac:dyDescent="0.25">
      <c r="A216" t="s">
        <v>401</v>
      </c>
      <c r="B216" s="2">
        <v>45787</v>
      </c>
      <c r="C216" t="s">
        <v>155</v>
      </c>
      <c r="D216" t="s">
        <v>17</v>
      </c>
      <c r="E216">
        <v>20</v>
      </c>
      <c r="F216" t="s">
        <v>59</v>
      </c>
      <c r="G216" t="s">
        <v>85</v>
      </c>
      <c r="H216" t="s">
        <v>29</v>
      </c>
      <c r="I216">
        <v>2</v>
      </c>
      <c r="J216" s="3">
        <v>18700</v>
      </c>
      <c r="K216" t="s">
        <v>21</v>
      </c>
      <c r="L216" t="s">
        <v>31</v>
      </c>
      <c r="M216" s="2">
        <v>45825</v>
      </c>
      <c r="N216" t="s">
        <v>64</v>
      </c>
      <c r="O216">
        <v>5</v>
      </c>
    </row>
    <row r="217" spans="1:15" x14ac:dyDescent="0.25">
      <c r="A217" t="s">
        <v>402</v>
      </c>
      <c r="B217" s="2">
        <v>45818</v>
      </c>
      <c r="C217" t="s">
        <v>382</v>
      </c>
      <c r="D217" t="s">
        <v>17</v>
      </c>
      <c r="E217">
        <v>21</v>
      </c>
      <c r="F217" t="s">
        <v>142</v>
      </c>
      <c r="G217" t="s">
        <v>179</v>
      </c>
      <c r="H217" t="s">
        <v>29</v>
      </c>
      <c r="I217">
        <v>1</v>
      </c>
      <c r="J217" s="3">
        <v>10000</v>
      </c>
      <c r="K217" t="s">
        <v>21</v>
      </c>
      <c r="L217" t="s">
        <v>31</v>
      </c>
      <c r="M217" s="2">
        <v>45930</v>
      </c>
      <c r="N217" t="s">
        <v>57</v>
      </c>
      <c r="O217">
        <v>5</v>
      </c>
    </row>
    <row r="218" spans="1:15" x14ac:dyDescent="0.25">
      <c r="A218" t="s">
        <v>403</v>
      </c>
      <c r="B218" s="2">
        <v>45904</v>
      </c>
      <c r="C218" t="s">
        <v>351</v>
      </c>
      <c r="D218" t="s">
        <v>26</v>
      </c>
      <c r="E218">
        <v>43</v>
      </c>
      <c r="F218" t="s">
        <v>18</v>
      </c>
      <c r="G218" t="s">
        <v>67</v>
      </c>
      <c r="H218" t="s">
        <v>36</v>
      </c>
      <c r="I218">
        <v>3</v>
      </c>
      <c r="J218" s="3">
        <v>29800</v>
      </c>
      <c r="K218" t="s">
        <v>68</v>
      </c>
      <c r="L218" t="s">
        <v>31</v>
      </c>
      <c r="M218" s="2">
        <v>45960</v>
      </c>
      <c r="N218" t="s">
        <v>37</v>
      </c>
      <c r="O218">
        <v>4</v>
      </c>
    </row>
    <row r="219" spans="1:15" x14ac:dyDescent="0.25">
      <c r="A219" t="s">
        <v>404</v>
      </c>
      <c r="B219" s="2">
        <v>45948</v>
      </c>
      <c r="C219" t="s">
        <v>405</v>
      </c>
      <c r="D219" t="s">
        <v>17</v>
      </c>
      <c r="E219">
        <v>37</v>
      </c>
      <c r="F219" t="s">
        <v>92</v>
      </c>
      <c r="G219" t="s">
        <v>93</v>
      </c>
      <c r="H219" t="s">
        <v>20</v>
      </c>
      <c r="I219">
        <v>6</v>
      </c>
      <c r="J219" s="3">
        <v>73000</v>
      </c>
      <c r="K219" t="s">
        <v>30</v>
      </c>
      <c r="L219" t="s">
        <v>31</v>
      </c>
      <c r="M219" s="2">
        <v>46028</v>
      </c>
      <c r="N219" t="s">
        <v>37</v>
      </c>
      <c r="O219">
        <v>5</v>
      </c>
    </row>
    <row r="220" spans="1:15" x14ac:dyDescent="0.25">
      <c r="A220" t="s">
        <v>406</v>
      </c>
      <c r="B220" s="2">
        <v>45938</v>
      </c>
      <c r="C220" t="s">
        <v>325</v>
      </c>
      <c r="D220" t="s">
        <v>26</v>
      </c>
      <c r="E220">
        <v>58</v>
      </c>
      <c r="F220" t="s">
        <v>59</v>
      </c>
      <c r="G220" t="s">
        <v>96</v>
      </c>
      <c r="H220" t="s">
        <v>36</v>
      </c>
      <c r="I220">
        <v>3</v>
      </c>
      <c r="J220" s="3">
        <v>24800</v>
      </c>
      <c r="K220" t="s">
        <v>30</v>
      </c>
      <c r="L220" t="s">
        <v>31</v>
      </c>
      <c r="M220" s="2">
        <v>46041</v>
      </c>
      <c r="N220" t="s">
        <v>43</v>
      </c>
      <c r="O220">
        <v>3</v>
      </c>
    </row>
    <row r="221" spans="1:15" x14ac:dyDescent="0.25">
      <c r="A221" t="s">
        <v>407</v>
      </c>
      <c r="B221" s="2">
        <v>45953</v>
      </c>
      <c r="C221" t="s">
        <v>126</v>
      </c>
      <c r="D221" t="s">
        <v>26</v>
      </c>
      <c r="E221">
        <v>46</v>
      </c>
      <c r="F221" t="s">
        <v>46</v>
      </c>
      <c r="G221" t="s">
        <v>51</v>
      </c>
      <c r="H221" t="s">
        <v>20</v>
      </c>
      <c r="I221">
        <v>1</v>
      </c>
      <c r="J221" s="3">
        <v>8200</v>
      </c>
      <c r="K221" t="s">
        <v>68</v>
      </c>
      <c r="L221" t="s">
        <v>31</v>
      </c>
      <c r="M221" s="2">
        <v>46011</v>
      </c>
      <c r="N221" t="s">
        <v>64</v>
      </c>
      <c r="O221">
        <v>4</v>
      </c>
    </row>
    <row r="222" spans="1:15" x14ac:dyDescent="0.25">
      <c r="A222" t="s">
        <v>408</v>
      </c>
      <c r="B222" s="2">
        <v>45977</v>
      </c>
      <c r="C222" t="s">
        <v>217</v>
      </c>
      <c r="D222" t="s">
        <v>26</v>
      </c>
      <c r="E222">
        <v>22</v>
      </c>
      <c r="F222" t="s">
        <v>18</v>
      </c>
      <c r="G222" t="s">
        <v>151</v>
      </c>
      <c r="H222" t="s">
        <v>42</v>
      </c>
      <c r="I222">
        <v>5</v>
      </c>
      <c r="J222" s="3">
        <v>44000</v>
      </c>
      <c r="K222" t="s">
        <v>63</v>
      </c>
      <c r="L222" t="s">
        <v>31</v>
      </c>
      <c r="M222" s="2">
        <v>46048</v>
      </c>
      <c r="N222" t="s">
        <v>57</v>
      </c>
      <c r="O222">
        <v>3</v>
      </c>
    </row>
    <row r="223" spans="1:15" x14ac:dyDescent="0.25">
      <c r="A223" t="s">
        <v>409</v>
      </c>
      <c r="B223" s="2">
        <v>45824</v>
      </c>
      <c r="C223" t="s">
        <v>214</v>
      </c>
      <c r="D223" t="s">
        <v>26</v>
      </c>
      <c r="E223">
        <v>20</v>
      </c>
      <c r="F223" t="s">
        <v>92</v>
      </c>
      <c r="G223" t="s">
        <v>162</v>
      </c>
      <c r="H223" t="s">
        <v>42</v>
      </c>
      <c r="I223">
        <v>4</v>
      </c>
      <c r="J223" s="3">
        <v>43400</v>
      </c>
      <c r="K223" t="s">
        <v>30</v>
      </c>
      <c r="L223" t="s">
        <v>31</v>
      </c>
      <c r="M223" s="2">
        <v>45854</v>
      </c>
      <c r="N223" t="s">
        <v>37</v>
      </c>
      <c r="O223">
        <v>5</v>
      </c>
    </row>
    <row r="224" spans="1:15" x14ac:dyDescent="0.25">
      <c r="A224" t="s">
        <v>410</v>
      </c>
      <c r="B224" s="2">
        <v>45979</v>
      </c>
      <c r="C224" t="s">
        <v>248</v>
      </c>
      <c r="D224" t="s">
        <v>26</v>
      </c>
      <c r="E224">
        <v>20</v>
      </c>
      <c r="F224" t="s">
        <v>46</v>
      </c>
      <c r="G224" t="s">
        <v>51</v>
      </c>
      <c r="H224" t="s">
        <v>20</v>
      </c>
      <c r="I224">
        <v>4</v>
      </c>
      <c r="J224" s="3">
        <v>33100</v>
      </c>
      <c r="K224" t="s">
        <v>63</v>
      </c>
      <c r="L224" t="s">
        <v>31</v>
      </c>
      <c r="M224" s="2">
        <v>46050</v>
      </c>
      <c r="N224" t="s">
        <v>57</v>
      </c>
      <c r="O224">
        <v>3</v>
      </c>
    </row>
    <row r="225" spans="1:15" x14ac:dyDescent="0.25">
      <c r="A225" t="s">
        <v>411</v>
      </c>
      <c r="B225" s="2">
        <v>45760</v>
      </c>
      <c r="C225" t="s">
        <v>412</v>
      </c>
      <c r="D225" t="s">
        <v>17</v>
      </c>
      <c r="E225">
        <v>41</v>
      </c>
      <c r="F225" t="s">
        <v>92</v>
      </c>
      <c r="G225" t="s">
        <v>93</v>
      </c>
      <c r="H225" t="s">
        <v>20</v>
      </c>
      <c r="I225">
        <v>5</v>
      </c>
      <c r="J225" s="3">
        <v>69700</v>
      </c>
      <c r="K225" t="s">
        <v>30</v>
      </c>
      <c r="L225" t="s">
        <v>31</v>
      </c>
      <c r="M225" s="2">
        <v>45878</v>
      </c>
      <c r="N225" t="s">
        <v>32</v>
      </c>
      <c r="O225">
        <v>3</v>
      </c>
    </row>
    <row r="226" spans="1:15" x14ac:dyDescent="0.25">
      <c r="A226" t="s">
        <v>413</v>
      </c>
      <c r="B226" s="2">
        <v>45778</v>
      </c>
      <c r="C226" t="s">
        <v>66</v>
      </c>
      <c r="D226" t="s">
        <v>26</v>
      </c>
      <c r="E226">
        <v>35</v>
      </c>
      <c r="F226" t="s">
        <v>46</v>
      </c>
      <c r="G226" t="s">
        <v>51</v>
      </c>
      <c r="H226" t="s">
        <v>20</v>
      </c>
      <c r="I226">
        <v>2</v>
      </c>
      <c r="J226" s="3">
        <v>19500</v>
      </c>
      <c r="K226" t="s">
        <v>30</v>
      </c>
      <c r="L226" t="s">
        <v>31</v>
      </c>
      <c r="M226" s="2">
        <v>45810</v>
      </c>
      <c r="N226" t="s">
        <v>57</v>
      </c>
      <c r="O226">
        <v>4</v>
      </c>
    </row>
    <row r="227" spans="1:15" x14ac:dyDescent="0.25">
      <c r="A227" t="s">
        <v>414</v>
      </c>
      <c r="B227" s="2">
        <v>45928</v>
      </c>
      <c r="C227" t="s">
        <v>126</v>
      </c>
      <c r="D227" t="s">
        <v>26</v>
      </c>
      <c r="E227">
        <v>46</v>
      </c>
      <c r="F227" t="s">
        <v>78</v>
      </c>
      <c r="G227" t="s">
        <v>82</v>
      </c>
      <c r="H227" t="s">
        <v>42</v>
      </c>
      <c r="I227">
        <v>3</v>
      </c>
      <c r="J227" s="3">
        <v>24100</v>
      </c>
      <c r="K227" t="s">
        <v>21</v>
      </c>
      <c r="L227" t="s">
        <v>31</v>
      </c>
      <c r="M227" s="2">
        <v>45939</v>
      </c>
      <c r="N227" t="s">
        <v>57</v>
      </c>
      <c r="O227">
        <v>5</v>
      </c>
    </row>
    <row r="228" spans="1:15" x14ac:dyDescent="0.25">
      <c r="A228" t="s">
        <v>415</v>
      </c>
      <c r="B228" s="2">
        <v>45700</v>
      </c>
      <c r="C228" t="s">
        <v>416</v>
      </c>
      <c r="D228" t="s">
        <v>26</v>
      </c>
      <c r="E228">
        <v>27</v>
      </c>
      <c r="F228" t="s">
        <v>92</v>
      </c>
      <c r="G228" t="s">
        <v>108</v>
      </c>
      <c r="H228" t="s">
        <v>36</v>
      </c>
      <c r="I228">
        <v>1</v>
      </c>
      <c r="J228" s="3">
        <v>12500</v>
      </c>
      <c r="K228" t="s">
        <v>63</v>
      </c>
      <c r="L228" t="s">
        <v>31</v>
      </c>
      <c r="M228" s="2">
        <v>45749</v>
      </c>
      <c r="N228" t="s">
        <v>64</v>
      </c>
      <c r="O228">
        <v>5</v>
      </c>
    </row>
    <row r="229" spans="1:15" x14ac:dyDescent="0.25">
      <c r="A229" t="s">
        <v>417</v>
      </c>
      <c r="B229" s="2">
        <v>45777</v>
      </c>
      <c r="C229" t="s">
        <v>405</v>
      </c>
      <c r="D229" t="s">
        <v>26</v>
      </c>
      <c r="E229">
        <v>23</v>
      </c>
      <c r="F229" t="s">
        <v>92</v>
      </c>
      <c r="G229" t="s">
        <v>108</v>
      </c>
      <c r="H229" t="s">
        <v>36</v>
      </c>
      <c r="I229">
        <v>2</v>
      </c>
      <c r="J229" s="3">
        <v>22500</v>
      </c>
      <c r="K229" t="s">
        <v>30</v>
      </c>
      <c r="L229" t="s">
        <v>31</v>
      </c>
      <c r="M229" s="2">
        <v>45830</v>
      </c>
      <c r="N229" t="s">
        <v>32</v>
      </c>
      <c r="O229">
        <v>4</v>
      </c>
    </row>
    <row r="230" spans="1:15" x14ac:dyDescent="0.25">
      <c r="A230" t="s">
        <v>418</v>
      </c>
      <c r="B230" s="2">
        <v>45723</v>
      </c>
      <c r="C230" t="s">
        <v>233</v>
      </c>
      <c r="D230" t="s">
        <v>26</v>
      </c>
      <c r="E230">
        <v>25</v>
      </c>
      <c r="F230" t="s">
        <v>40</v>
      </c>
      <c r="G230" t="s">
        <v>54</v>
      </c>
      <c r="H230" t="s">
        <v>20</v>
      </c>
      <c r="I230">
        <v>6</v>
      </c>
      <c r="J230" s="3">
        <v>69000</v>
      </c>
      <c r="K230" t="s">
        <v>30</v>
      </c>
      <c r="L230" t="s">
        <v>31</v>
      </c>
      <c r="M230" s="2">
        <v>45814</v>
      </c>
      <c r="N230" t="s">
        <v>23</v>
      </c>
      <c r="O230">
        <v>3</v>
      </c>
    </row>
    <row r="231" spans="1:15" x14ac:dyDescent="0.25">
      <c r="A231" t="s">
        <v>419</v>
      </c>
      <c r="B231" s="2">
        <v>45744</v>
      </c>
      <c r="C231" t="s">
        <v>110</v>
      </c>
      <c r="D231" t="s">
        <v>17</v>
      </c>
      <c r="E231">
        <v>24</v>
      </c>
      <c r="F231" t="s">
        <v>18</v>
      </c>
      <c r="G231" t="s">
        <v>19</v>
      </c>
      <c r="H231" t="s">
        <v>20</v>
      </c>
      <c r="I231">
        <v>5</v>
      </c>
      <c r="J231" s="3">
        <v>60800</v>
      </c>
      <c r="K231" t="s">
        <v>21</v>
      </c>
      <c r="L231" t="s">
        <v>31</v>
      </c>
      <c r="M231" s="2">
        <v>45777</v>
      </c>
      <c r="N231" t="s">
        <v>64</v>
      </c>
      <c r="O231">
        <v>4</v>
      </c>
    </row>
    <row r="232" spans="1:15" x14ac:dyDescent="0.25">
      <c r="A232" t="s">
        <v>420</v>
      </c>
      <c r="B232" s="2">
        <v>45826</v>
      </c>
      <c r="C232" t="s">
        <v>302</v>
      </c>
      <c r="D232" t="s">
        <v>26</v>
      </c>
      <c r="E232">
        <v>36</v>
      </c>
      <c r="F232" t="s">
        <v>27</v>
      </c>
      <c r="G232" t="s">
        <v>192</v>
      </c>
      <c r="H232" t="s">
        <v>42</v>
      </c>
      <c r="I232">
        <v>1</v>
      </c>
      <c r="J232" s="3">
        <v>5800</v>
      </c>
      <c r="K232" t="s">
        <v>30</v>
      </c>
      <c r="L232" t="s">
        <v>31</v>
      </c>
      <c r="M232" s="2">
        <v>45848</v>
      </c>
      <c r="N232" t="s">
        <v>43</v>
      </c>
      <c r="O232">
        <v>4</v>
      </c>
    </row>
    <row r="233" spans="1:15" x14ac:dyDescent="0.25">
      <c r="A233" t="s">
        <v>421</v>
      </c>
      <c r="B233" s="2">
        <v>45775</v>
      </c>
      <c r="C233" t="s">
        <v>422</v>
      </c>
      <c r="D233" t="s">
        <v>26</v>
      </c>
      <c r="E233">
        <v>39</v>
      </c>
      <c r="F233" t="s">
        <v>18</v>
      </c>
      <c r="G233" t="s">
        <v>151</v>
      </c>
      <c r="H233" t="s">
        <v>42</v>
      </c>
      <c r="I233">
        <v>6</v>
      </c>
      <c r="J233" s="3">
        <v>46600</v>
      </c>
      <c r="K233" t="s">
        <v>21</v>
      </c>
      <c r="L233" t="s">
        <v>22</v>
      </c>
      <c r="M233" s="2">
        <v>45878</v>
      </c>
      <c r="N233" t="s">
        <v>64</v>
      </c>
      <c r="O233">
        <v>5</v>
      </c>
    </row>
    <row r="234" spans="1:15" x14ac:dyDescent="0.25">
      <c r="A234" t="s">
        <v>423</v>
      </c>
      <c r="B234" s="2">
        <v>45861</v>
      </c>
      <c r="C234" t="s">
        <v>424</v>
      </c>
      <c r="D234" t="s">
        <v>17</v>
      </c>
      <c r="E234">
        <v>41</v>
      </c>
      <c r="F234" t="s">
        <v>27</v>
      </c>
      <c r="G234" t="s">
        <v>35</v>
      </c>
      <c r="H234" t="s">
        <v>36</v>
      </c>
      <c r="I234">
        <v>6</v>
      </c>
      <c r="J234" s="3">
        <v>42200</v>
      </c>
      <c r="K234" t="s">
        <v>68</v>
      </c>
      <c r="L234" t="s">
        <v>31</v>
      </c>
      <c r="M234" s="2">
        <v>45980</v>
      </c>
      <c r="N234" t="s">
        <v>37</v>
      </c>
      <c r="O234">
        <v>4</v>
      </c>
    </row>
    <row r="235" spans="1:15" x14ac:dyDescent="0.25">
      <c r="A235" t="s">
        <v>425</v>
      </c>
      <c r="B235" s="2">
        <v>45700</v>
      </c>
      <c r="C235" t="s">
        <v>107</v>
      </c>
      <c r="D235" t="s">
        <v>17</v>
      </c>
      <c r="E235">
        <v>34</v>
      </c>
      <c r="F235" t="s">
        <v>27</v>
      </c>
      <c r="G235" t="s">
        <v>28</v>
      </c>
      <c r="H235" t="s">
        <v>29</v>
      </c>
      <c r="I235">
        <v>5</v>
      </c>
      <c r="J235" s="3">
        <v>43600</v>
      </c>
      <c r="K235" t="s">
        <v>63</v>
      </c>
      <c r="L235" t="s">
        <v>31</v>
      </c>
      <c r="M235" s="2">
        <v>45797</v>
      </c>
      <c r="N235" t="s">
        <v>43</v>
      </c>
      <c r="O235">
        <v>5</v>
      </c>
    </row>
    <row r="236" spans="1:15" x14ac:dyDescent="0.25">
      <c r="A236" t="s">
        <v>426</v>
      </c>
      <c r="B236" s="2">
        <v>45894</v>
      </c>
      <c r="C236" t="s">
        <v>98</v>
      </c>
      <c r="D236" t="s">
        <v>26</v>
      </c>
      <c r="E236">
        <v>24</v>
      </c>
      <c r="F236" t="s">
        <v>92</v>
      </c>
      <c r="G236" t="s">
        <v>93</v>
      </c>
      <c r="H236" t="s">
        <v>20</v>
      </c>
      <c r="I236">
        <v>4</v>
      </c>
      <c r="J236" s="3">
        <v>54600</v>
      </c>
      <c r="K236" t="s">
        <v>63</v>
      </c>
      <c r="L236" t="s">
        <v>31</v>
      </c>
      <c r="M236" s="2">
        <v>45971</v>
      </c>
      <c r="N236" t="s">
        <v>43</v>
      </c>
      <c r="O236">
        <v>4</v>
      </c>
    </row>
    <row r="237" spans="1:15" x14ac:dyDescent="0.25">
      <c r="A237" t="s">
        <v>427</v>
      </c>
      <c r="B237" s="2">
        <v>45836</v>
      </c>
      <c r="C237" t="s">
        <v>153</v>
      </c>
      <c r="D237" t="s">
        <v>26</v>
      </c>
      <c r="E237">
        <v>51</v>
      </c>
      <c r="F237" t="s">
        <v>78</v>
      </c>
      <c r="G237" t="s">
        <v>79</v>
      </c>
      <c r="H237" t="s">
        <v>29</v>
      </c>
      <c r="I237">
        <v>6</v>
      </c>
      <c r="J237" s="3">
        <v>51300</v>
      </c>
      <c r="K237" t="s">
        <v>68</v>
      </c>
      <c r="L237" t="s">
        <v>31</v>
      </c>
      <c r="M237" s="2">
        <v>45948</v>
      </c>
      <c r="N237" t="s">
        <v>57</v>
      </c>
      <c r="O237">
        <v>5</v>
      </c>
    </row>
    <row r="238" spans="1:15" x14ac:dyDescent="0.25">
      <c r="A238" t="s">
        <v>428</v>
      </c>
      <c r="B238" s="2">
        <v>45770</v>
      </c>
      <c r="C238" t="s">
        <v>302</v>
      </c>
      <c r="D238" t="s">
        <v>26</v>
      </c>
      <c r="E238">
        <v>58</v>
      </c>
      <c r="F238" t="s">
        <v>122</v>
      </c>
      <c r="G238" t="s">
        <v>203</v>
      </c>
      <c r="H238" t="s">
        <v>36</v>
      </c>
      <c r="I238">
        <v>2</v>
      </c>
      <c r="J238" s="3">
        <v>19300</v>
      </c>
      <c r="K238" t="s">
        <v>63</v>
      </c>
      <c r="L238" t="s">
        <v>22</v>
      </c>
      <c r="M238" s="2">
        <v>45777</v>
      </c>
      <c r="N238" t="s">
        <v>32</v>
      </c>
      <c r="O238">
        <v>3</v>
      </c>
    </row>
    <row r="239" spans="1:15" x14ac:dyDescent="0.25">
      <c r="A239" t="s">
        <v>429</v>
      </c>
      <c r="B239" s="2">
        <v>45792</v>
      </c>
      <c r="C239" t="s">
        <v>45</v>
      </c>
      <c r="D239" t="s">
        <v>17</v>
      </c>
      <c r="E239">
        <v>19</v>
      </c>
      <c r="F239" t="s">
        <v>46</v>
      </c>
      <c r="G239" t="s">
        <v>51</v>
      </c>
      <c r="H239" t="s">
        <v>20</v>
      </c>
      <c r="I239">
        <v>5</v>
      </c>
      <c r="J239" s="3">
        <v>47600</v>
      </c>
      <c r="K239" t="s">
        <v>30</v>
      </c>
      <c r="L239" t="s">
        <v>22</v>
      </c>
      <c r="M239" s="2">
        <v>45807</v>
      </c>
      <c r="N239" t="s">
        <v>64</v>
      </c>
      <c r="O239">
        <v>3</v>
      </c>
    </row>
    <row r="240" spans="1:15" x14ac:dyDescent="0.25">
      <c r="A240" t="s">
        <v>430</v>
      </c>
      <c r="B240" s="2">
        <v>46003</v>
      </c>
      <c r="C240" t="s">
        <v>155</v>
      </c>
      <c r="D240" t="s">
        <v>17</v>
      </c>
      <c r="E240">
        <v>38</v>
      </c>
      <c r="F240" t="s">
        <v>142</v>
      </c>
      <c r="G240" t="s">
        <v>179</v>
      </c>
      <c r="H240" t="s">
        <v>29</v>
      </c>
      <c r="I240">
        <v>6</v>
      </c>
      <c r="J240" s="3">
        <v>49100</v>
      </c>
      <c r="K240" t="s">
        <v>68</v>
      </c>
      <c r="L240" t="s">
        <v>31</v>
      </c>
      <c r="M240" s="2">
        <v>46015</v>
      </c>
      <c r="N240" t="s">
        <v>23</v>
      </c>
      <c r="O240">
        <v>5</v>
      </c>
    </row>
    <row r="241" spans="1:15" x14ac:dyDescent="0.25">
      <c r="A241" t="s">
        <v>431</v>
      </c>
      <c r="B241" s="2">
        <v>45862</v>
      </c>
      <c r="C241" t="s">
        <v>432</v>
      </c>
      <c r="D241" t="s">
        <v>26</v>
      </c>
      <c r="E241">
        <v>47</v>
      </c>
      <c r="F241" t="s">
        <v>78</v>
      </c>
      <c r="G241" t="s">
        <v>79</v>
      </c>
      <c r="H241" t="s">
        <v>29</v>
      </c>
      <c r="I241">
        <v>2</v>
      </c>
      <c r="J241" s="3">
        <v>16700</v>
      </c>
      <c r="K241" t="s">
        <v>21</v>
      </c>
      <c r="L241" t="s">
        <v>31</v>
      </c>
      <c r="M241" s="2">
        <v>45881</v>
      </c>
      <c r="N241" t="s">
        <v>43</v>
      </c>
      <c r="O241">
        <v>4</v>
      </c>
    </row>
    <row r="242" spans="1:15" x14ac:dyDescent="0.25">
      <c r="A242" t="s">
        <v>433</v>
      </c>
      <c r="B242" s="2">
        <v>45954</v>
      </c>
      <c r="C242" t="s">
        <v>178</v>
      </c>
      <c r="D242" t="s">
        <v>17</v>
      </c>
      <c r="E242">
        <v>42</v>
      </c>
      <c r="F242" t="s">
        <v>46</v>
      </c>
      <c r="G242" t="s">
        <v>51</v>
      </c>
      <c r="H242" t="s">
        <v>20</v>
      </c>
      <c r="I242">
        <v>1</v>
      </c>
      <c r="J242" s="3">
        <v>8300</v>
      </c>
      <c r="K242" t="s">
        <v>68</v>
      </c>
      <c r="L242" t="s">
        <v>31</v>
      </c>
      <c r="M242" s="2">
        <v>45968</v>
      </c>
      <c r="N242" t="s">
        <v>57</v>
      </c>
      <c r="O242">
        <v>5</v>
      </c>
    </row>
    <row r="243" spans="1:15" x14ac:dyDescent="0.25">
      <c r="A243" t="s">
        <v>434</v>
      </c>
      <c r="B243" s="2">
        <v>45668</v>
      </c>
      <c r="C243" t="s">
        <v>366</v>
      </c>
      <c r="D243" t="s">
        <v>26</v>
      </c>
      <c r="E243">
        <v>18</v>
      </c>
      <c r="F243" t="s">
        <v>78</v>
      </c>
      <c r="G243" t="s">
        <v>79</v>
      </c>
      <c r="H243" t="s">
        <v>29</v>
      </c>
      <c r="I243">
        <v>3</v>
      </c>
      <c r="J243" s="3">
        <v>33300</v>
      </c>
      <c r="K243" t="s">
        <v>63</v>
      </c>
      <c r="L243" t="s">
        <v>31</v>
      </c>
      <c r="M243" s="2">
        <v>45763</v>
      </c>
      <c r="N243" t="s">
        <v>23</v>
      </c>
      <c r="O243">
        <v>4</v>
      </c>
    </row>
    <row r="244" spans="1:15" x14ac:dyDescent="0.25">
      <c r="A244" t="s">
        <v>435</v>
      </c>
      <c r="B244" s="2">
        <v>45708</v>
      </c>
      <c r="C244" t="s">
        <v>39</v>
      </c>
      <c r="D244" t="s">
        <v>17</v>
      </c>
      <c r="E244">
        <v>28</v>
      </c>
      <c r="F244" t="s">
        <v>99</v>
      </c>
      <c r="G244" t="s">
        <v>100</v>
      </c>
      <c r="H244" t="s">
        <v>42</v>
      </c>
      <c r="I244">
        <v>4</v>
      </c>
      <c r="J244" s="3">
        <v>23900</v>
      </c>
      <c r="K244" t="s">
        <v>68</v>
      </c>
      <c r="L244" t="s">
        <v>31</v>
      </c>
      <c r="M244" s="2">
        <v>45809</v>
      </c>
      <c r="N244" t="s">
        <v>43</v>
      </c>
      <c r="O244">
        <v>5</v>
      </c>
    </row>
    <row r="245" spans="1:15" x14ac:dyDescent="0.25">
      <c r="A245" t="s">
        <v>436</v>
      </c>
      <c r="B245" s="2">
        <v>45952</v>
      </c>
      <c r="C245" t="s">
        <v>223</v>
      </c>
      <c r="D245" t="s">
        <v>26</v>
      </c>
      <c r="E245">
        <v>59</v>
      </c>
      <c r="F245" t="s">
        <v>59</v>
      </c>
      <c r="G245" t="s">
        <v>96</v>
      </c>
      <c r="H245" t="s">
        <v>36</v>
      </c>
      <c r="I245">
        <v>1</v>
      </c>
      <c r="J245" s="3">
        <v>8700</v>
      </c>
      <c r="K245" t="s">
        <v>63</v>
      </c>
      <c r="L245" t="s">
        <v>31</v>
      </c>
      <c r="M245" s="2">
        <v>45970</v>
      </c>
      <c r="N245" t="s">
        <v>23</v>
      </c>
      <c r="O245">
        <v>5</v>
      </c>
    </row>
    <row r="246" spans="1:15" x14ac:dyDescent="0.25">
      <c r="A246" t="s">
        <v>437</v>
      </c>
      <c r="B246" s="2">
        <v>45673</v>
      </c>
      <c r="C246" t="s">
        <v>438</v>
      </c>
      <c r="D246" t="s">
        <v>17</v>
      </c>
      <c r="E246">
        <v>20</v>
      </c>
      <c r="F246" t="s">
        <v>99</v>
      </c>
      <c r="G246" t="s">
        <v>249</v>
      </c>
      <c r="H246" t="s">
        <v>36</v>
      </c>
      <c r="I246">
        <v>6</v>
      </c>
      <c r="J246" s="3">
        <v>49300</v>
      </c>
      <c r="K246" t="s">
        <v>63</v>
      </c>
      <c r="L246" t="s">
        <v>22</v>
      </c>
      <c r="M246" s="2">
        <v>45734</v>
      </c>
      <c r="N246" t="s">
        <v>64</v>
      </c>
      <c r="O246">
        <v>4</v>
      </c>
    </row>
    <row r="247" spans="1:15" x14ac:dyDescent="0.25">
      <c r="A247" t="s">
        <v>439</v>
      </c>
      <c r="B247" s="2">
        <v>45763</v>
      </c>
      <c r="C247" t="s">
        <v>16</v>
      </c>
      <c r="D247" t="s">
        <v>26</v>
      </c>
      <c r="E247">
        <v>35</v>
      </c>
      <c r="F247" t="s">
        <v>40</v>
      </c>
      <c r="G247" t="s">
        <v>41</v>
      </c>
      <c r="H247" t="s">
        <v>42</v>
      </c>
      <c r="I247">
        <v>4</v>
      </c>
      <c r="J247" s="3">
        <v>44600</v>
      </c>
      <c r="K247" t="s">
        <v>21</v>
      </c>
      <c r="L247" t="s">
        <v>31</v>
      </c>
      <c r="M247" s="2">
        <v>45859</v>
      </c>
      <c r="N247" t="s">
        <v>32</v>
      </c>
      <c r="O247">
        <v>5</v>
      </c>
    </row>
    <row r="248" spans="1:15" x14ac:dyDescent="0.25">
      <c r="A248" t="s">
        <v>440</v>
      </c>
      <c r="B248" s="2">
        <v>46017</v>
      </c>
      <c r="C248" t="s">
        <v>441</v>
      </c>
      <c r="D248" t="s">
        <v>17</v>
      </c>
      <c r="E248">
        <v>33</v>
      </c>
      <c r="F248" t="s">
        <v>46</v>
      </c>
      <c r="G248" t="s">
        <v>51</v>
      </c>
      <c r="H248" t="s">
        <v>20</v>
      </c>
      <c r="I248">
        <v>6</v>
      </c>
      <c r="J248" s="3">
        <v>46400</v>
      </c>
      <c r="K248" t="s">
        <v>68</v>
      </c>
      <c r="L248" t="s">
        <v>31</v>
      </c>
      <c r="M248" s="2">
        <v>46116</v>
      </c>
      <c r="N248" t="s">
        <v>57</v>
      </c>
      <c r="O248">
        <v>4</v>
      </c>
    </row>
    <row r="249" spans="1:15" x14ac:dyDescent="0.25">
      <c r="A249" t="s">
        <v>442</v>
      </c>
      <c r="B249" s="2">
        <v>45897</v>
      </c>
      <c r="C249" t="s">
        <v>251</v>
      </c>
      <c r="D249" t="s">
        <v>26</v>
      </c>
      <c r="E249">
        <v>56</v>
      </c>
      <c r="F249" t="s">
        <v>92</v>
      </c>
      <c r="G249" t="s">
        <v>108</v>
      </c>
      <c r="H249" t="s">
        <v>36</v>
      </c>
      <c r="I249">
        <v>3</v>
      </c>
      <c r="J249" s="3">
        <v>38800</v>
      </c>
      <c r="K249" t="s">
        <v>63</v>
      </c>
      <c r="L249" t="s">
        <v>31</v>
      </c>
      <c r="M249" s="2">
        <v>46009</v>
      </c>
      <c r="N249" t="s">
        <v>64</v>
      </c>
      <c r="O249">
        <v>4</v>
      </c>
    </row>
    <row r="250" spans="1:15" x14ac:dyDescent="0.25">
      <c r="A250" t="s">
        <v>443</v>
      </c>
      <c r="B250" s="2">
        <v>45767</v>
      </c>
      <c r="C250" t="s">
        <v>95</v>
      </c>
      <c r="D250" t="s">
        <v>17</v>
      </c>
      <c r="E250">
        <v>39</v>
      </c>
      <c r="F250" t="s">
        <v>59</v>
      </c>
      <c r="G250" t="s">
        <v>60</v>
      </c>
      <c r="H250" t="s">
        <v>42</v>
      </c>
      <c r="I250">
        <v>3</v>
      </c>
      <c r="J250" s="3">
        <v>25900</v>
      </c>
      <c r="K250" t="s">
        <v>63</v>
      </c>
      <c r="L250" t="s">
        <v>31</v>
      </c>
      <c r="M250" s="2">
        <v>45833</v>
      </c>
      <c r="N250" t="s">
        <v>32</v>
      </c>
      <c r="O250">
        <v>4</v>
      </c>
    </row>
    <row r="251" spans="1:15" x14ac:dyDescent="0.25">
      <c r="A251" t="s">
        <v>444</v>
      </c>
      <c r="B251" s="2">
        <v>45961</v>
      </c>
      <c r="C251" t="s">
        <v>126</v>
      </c>
      <c r="D251" t="s">
        <v>26</v>
      </c>
      <c r="E251">
        <v>39</v>
      </c>
      <c r="F251" t="s">
        <v>59</v>
      </c>
      <c r="G251" t="s">
        <v>60</v>
      </c>
      <c r="H251" t="s">
        <v>42</v>
      </c>
      <c r="I251">
        <v>1</v>
      </c>
      <c r="J251" s="3">
        <v>8100</v>
      </c>
      <c r="K251" t="s">
        <v>21</v>
      </c>
      <c r="L251" t="s">
        <v>31</v>
      </c>
      <c r="M251" s="2">
        <v>46057</v>
      </c>
      <c r="N251" t="s">
        <v>37</v>
      </c>
      <c r="O251">
        <v>3</v>
      </c>
    </row>
    <row r="252" spans="1:15" x14ac:dyDescent="0.25">
      <c r="A252" t="s">
        <v>445</v>
      </c>
      <c r="B252" s="2">
        <v>45754</v>
      </c>
      <c r="C252" t="s">
        <v>145</v>
      </c>
      <c r="D252" t="s">
        <v>26</v>
      </c>
      <c r="E252">
        <v>53</v>
      </c>
      <c r="F252" t="s">
        <v>59</v>
      </c>
      <c r="G252" t="s">
        <v>96</v>
      </c>
      <c r="H252" t="s">
        <v>36</v>
      </c>
      <c r="I252">
        <v>1</v>
      </c>
      <c r="J252" s="3">
        <v>9200</v>
      </c>
      <c r="K252" t="s">
        <v>63</v>
      </c>
      <c r="L252" t="s">
        <v>22</v>
      </c>
      <c r="M252" s="2">
        <v>45853</v>
      </c>
      <c r="N252" t="s">
        <v>43</v>
      </c>
      <c r="O252">
        <v>5</v>
      </c>
    </row>
    <row r="253" spans="1:15" x14ac:dyDescent="0.25">
      <c r="A253" t="s">
        <v>446</v>
      </c>
      <c r="B253" s="2">
        <v>45878</v>
      </c>
      <c r="C253" t="s">
        <v>447</v>
      </c>
      <c r="D253" t="s">
        <v>17</v>
      </c>
      <c r="E253">
        <v>36</v>
      </c>
      <c r="F253" t="s">
        <v>122</v>
      </c>
      <c r="G253" t="s">
        <v>123</v>
      </c>
      <c r="H253" t="s">
        <v>29</v>
      </c>
      <c r="I253">
        <v>2</v>
      </c>
      <c r="J253" s="3">
        <v>22800</v>
      </c>
      <c r="K253" t="s">
        <v>21</v>
      </c>
      <c r="L253" t="s">
        <v>31</v>
      </c>
      <c r="M253" s="2">
        <v>45970</v>
      </c>
      <c r="N253" t="s">
        <v>32</v>
      </c>
      <c r="O253">
        <v>5</v>
      </c>
    </row>
    <row r="254" spans="1:15" x14ac:dyDescent="0.25">
      <c r="A254" t="s">
        <v>448</v>
      </c>
      <c r="B254" s="2">
        <v>45830</v>
      </c>
      <c r="C254" t="s">
        <v>198</v>
      </c>
      <c r="D254" t="s">
        <v>17</v>
      </c>
      <c r="E254">
        <v>59</v>
      </c>
      <c r="F254" t="s">
        <v>46</v>
      </c>
      <c r="G254" t="s">
        <v>47</v>
      </c>
      <c r="H254" t="s">
        <v>48</v>
      </c>
      <c r="I254">
        <v>1</v>
      </c>
      <c r="J254" s="3">
        <v>5500</v>
      </c>
      <c r="K254" t="s">
        <v>63</v>
      </c>
      <c r="L254" t="s">
        <v>31</v>
      </c>
      <c r="M254" s="2">
        <v>45895</v>
      </c>
      <c r="N254" t="s">
        <v>32</v>
      </c>
      <c r="O254">
        <v>5</v>
      </c>
    </row>
    <row r="255" spans="1:15" x14ac:dyDescent="0.25">
      <c r="A255" t="s">
        <v>449</v>
      </c>
      <c r="B255" s="2">
        <v>45661</v>
      </c>
      <c r="C255" t="s">
        <v>130</v>
      </c>
      <c r="D255" t="s">
        <v>26</v>
      </c>
      <c r="E255">
        <v>32</v>
      </c>
      <c r="F255" t="s">
        <v>18</v>
      </c>
      <c r="G255" t="s">
        <v>19</v>
      </c>
      <c r="H255" t="s">
        <v>20</v>
      </c>
      <c r="I255">
        <v>2</v>
      </c>
      <c r="J255" s="3">
        <v>22100</v>
      </c>
      <c r="K255" t="s">
        <v>68</v>
      </c>
      <c r="L255" t="s">
        <v>31</v>
      </c>
      <c r="M255" s="2">
        <v>45741</v>
      </c>
      <c r="N255" t="s">
        <v>37</v>
      </c>
      <c r="O255">
        <v>5</v>
      </c>
    </row>
    <row r="256" spans="1:15" x14ac:dyDescent="0.25">
      <c r="A256" t="s">
        <v>450</v>
      </c>
      <c r="B256" s="2">
        <v>45858</v>
      </c>
      <c r="C256" t="s">
        <v>256</v>
      </c>
      <c r="D256" t="s">
        <v>17</v>
      </c>
      <c r="E256">
        <v>45</v>
      </c>
      <c r="F256" t="s">
        <v>18</v>
      </c>
      <c r="G256" t="s">
        <v>67</v>
      </c>
      <c r="H256" t="s">
        <v>36</v>
      </c>
      <c r="I256">
        <v>5</v>
      </c>
      <c r="J256" s="3">
        <v>42500</v>
      </c>
      <c r="K256" t="s">
        <v>30</v>
      </c>
      <c r="L256" t="s">
        <v>22</v>
      </c>
      <c r="M256" s="2">
        <v>45959</v>
      </c>
      <c r="N256" t="s">
        <v>23</v>
      </c>
      <c r="O256">
        <v>4</v>
      </c>
    </row>
    <row r="257" spans="1:15" x14ac:dyDescent="0.25">
      <c r="A257" t="s">
        <v>451</v>
      </c>
      <c r="B257" s="2">
        <v>45726</v>
      </c>
      <c r="C257" t="s">
        <v>432</v>
      </c>
      <c r="D257" t="s">
        <v>17</v>
      </c>
      <c r="E257">
        <v>20</v>
      </c>
      <c r="F257" t="s">
        <v>46</v>
      </c>
      <c r="G257" t="s">
        <v>51</v>
      </c>
      <c r="H257" t="s">
        <v>20</v>
      </c>
      <c r="I257">
        <v>3</v>
      </c>
      <c r="J257" s="3">
        <v>25400</v>
      </c>
      <c r="K257" t="s">
        <v>68</v>
      </c>
      <c r="L257" t="s">
        <v>31</v>
      </c>
      <c r="M257" s="2">
        <v>45795</v>
      </c>
      <c r="N257" t="s">
        <v>23</v>
      </c>
      <c r="O257">
        <v>5</v>
      </c>
    </row>
    <row r="258" spans="1:15" x14ac:dyDescent="0.25">
      <c r="A258" t="s">
        <v>452</v>
      </c>
      <c r="B258" s="2">
        <v>46016</v>
      </c>
      <c r="C258" t="s">
        <v>453</v>
      </c>
      <c r="D258" t="s">
        <v>17</v>
      </c>
      <c r="E258">
        <v>58</v>
      </c>
      <c r="F258" t="s">
        <v>122</v>
      </c>
      <c r="G258" t="s">
        <v>203</v>
      </c>
      <c r="H258" t="s">
        <v>36</v>
      </c>
      <c r="I258">
        <v>6</v>
      </c>
      <c r="J258" s="3">
        <v>48700</v>
      </c>
      <c r="K258" t="s">
        <v>21</v>
      </c>
      <c r="L258" t="s">
        <v>31</v>
      </c>
      <c r="M258" s="2">
        <v>46028</v>
      </c>
      <c r="N258" t="s">
        <v>43</v>
      </c>
      <c r="O258">
        <v>4</v>
      </c>
    </row>
    <row r="259" spans="1:15" x14ac:dyDescent="0.25">
      <c r="A259" t="s">
        <v>454</v>
      </c>
      <c r="B259" s="2">
        <v>45976</v>
      </c>
      <c r="C259" t="s">
        <v>395</v>
      </c>
      <c r="D259" t="s">
        <v>26</v>
      </c>
      <c r="E259">
        <v>26</v>
      </c>
      <c r="F259" t="s">
        <v>27</v>
      </c>
      <c r="G259" t="s">
        <v>35</v>
      </c>
      <c r="H259" t="s">
        <v>36</v>
      </c>
      <c r="I259">
        <v>5</v>
      </c>
      <c r="J259" s="3">
        <v>34600</v>
      </c>
      <c r="K259" t="s">
        <v>30</v>
      </c>
      <c r="L259" t="s">
        <v>31</v>
      </c>
      <c r="M259" s="2">
        <v>46060</v>
      </c>
      <c r="N259" t="s">
        <v>43</v>
      </c>
      <c r="O259">
        <v>5</v>
      </c>
    </row>
    <row r="260" spans="1:15" x14ac:dyDescent="0.25">
      <c r="A260" t="s">
        <v>455</v>
      </c>
      <c r="B260" s="2">
        <v>45920</v>
      </c>
      <c r="C260" t="s">
        <v>175</v>
      </c>
      <c r="D260" t="s">
        <v>26</v>
      </c>
      <c r="E260">
        <v>24</v>
      </c>
      <c r="F260" t="s">
        <v>122</v>
      </c>
      <c r="G260" t="s">
        <v>123</v>
      </c>
      <c r="H260" t="s">
        <v>29</v>
      </c>
      <c r="I260">
        <v>6</v>
      </c>
      <c r="J260" s="3">
        <v>56000</v>
      </c>
      <c r="K260" t="s">
        <v>63</v>
      </c>
      <c r="L260" t="s">
        <v>22</v>
      </c>
      <c r="M260" s="2">
        <v>45970</v>
      </c>
      <c r="N260" t="s">
        <v>57</v>
      </c>
      <c r="O260">
        <v>5</v>
      </c>
    </row>
    <row r="261" spans="1:15" x14ac:dyDescent="0.25">
      <c r="A261" t="s">
        <v>456</v>
      </c>
      <c r="B261" s="2">
        <v>45885</v>
      </c>
      <c r="C261" t="s">
        <v>25</v>
      </c>
      <c r="D261" t="s">
        <v>26</v>
      </c>
      <c r="E261">
        <v>23</v>
      </c>
      <c r="F261" t="s">
        <v>122</v>
      </c>
      <c r="G261" t="s">
        <v>123</v>
      </c>
      <c r="H261" t="s">
        <v>29</v>
      </c>
      <c r="I261">
        <v>6</v>
      </c>
      <c r="J261" s="3">
        <v>55300</v>
      </c>
      <c r="K261" t="s">
        <v>21</v>
      </c>
      <c r="L261" t="s">
        <v>31</v>
      </c>
      <c r="M261" s="2">
        <v>45903</v>
      </c>
      <c r="N261" t="s">
        <v>43</v>
      </c>
      <c r="O261">
        <v>5</v>
      </c>
    </row>
    <row r="262" spans="1:15" x14ac:dyDescent="0.25">
      <c r="A262" t="s">
        <v>457</v>
      </c>
      <c r="B262" s="2">
        <v>45873</v>
      </c>
      <c r="C262" t="s">
        <v>270</v>
      </c>
      <c r="D262" t="s">
        <v>17</v>
      </c>
      <c r="E262">
        <v>54</v>
      </c>
      <c r="F262" t="s">
        <v>27</v>
      </c>
      <c r="G262" t="s">
        <v>192</v>
      </c>
      <c r="H262" t="s">
        <v>42</v>
      </c>
      <c r="I262">
        <v>3</v>
      </c>
      <c r="J262" s="3">
        <v>21000</v>
      </c>
      <c r="K262" t="s">
        <v>21</v>
      </c>
      <c r="L262" t="s">
        <v>31</v>
      </c>
      <c r="M262" s="2">
        <v>45912</v>
      </c>
      <c r="N262" t="s">
        <v>37</v>
      </c>
      <c r="O262">
        <v>4</v>
      </c>
    </row>
    <row r="263" spans="1:15" x14ac:dyDescent="0.25">
      <c r="A263" t="s">
        <v>458</v>
      </c>
      <c r="B263" s="2">
        <v>45674</v>
      </c>
      <c r="C263" t="s">
        <v>363</v>
      </c>
      <c r="D263" t="s">
        <v>17</v>
      </c>
      <c r="E263">
        <v>35</v>
      </c>
      <c r="F263" t="s">
        <v>18</v>
      </c>
      <c r="G263" t="s">
        <v>151</v>
      </c>
      <c r="H263" t="s">
        <v>42</v>
      </c>
      <c r="I263">
        <v>3</v>
      </c>
      <c r="J263" s="3">
        <v>23800</v>
      </c>
      <c r="K263" t="s">
        <v>68</v>
      </c>
      <c r="L263" t="s">
        <v>31</v>
      </c>
      <c r="M263" s="2">
        <v>45709</v>
      </c>
      <c r="N263" t="s">
        <v>37</v>
      </c>
      <c r="O263">
        <v>5</v>
      </c>
    </row>
    <row r="264" spans="1:15" x14ac:dyDescent="0.25">
      <c r="A264" t="s">
        <v>459</v>
      </c>
      <c r="B264" s="2">
        <v>45856</v>
      </c>
      <c r="C264" t="s">
        <v>363</v>
      </c>
      <c r="D264" t="s">
        <v>17</v>
      </c>
      <c r="E264">
        <v>42</v>
      </c>
      <c r="F264" t="s">
        <v>27</v>
      </c>
      <c r="G264" t="s">
        <v>28</v>
      </c>
      <c r="H264" t="s">
        <v>29</v>
      </c>
      <c r="I264">
        <v>6</v>
      </c>
      <c r="J264" s="3">
        <v>57300</v>
      </c>
      <c r="K264" t="s">
        <v>30</v>
      </c>
      <c r="L264" t="s">
        <v>22</v>
      </c>
      <c r="M264" s="2">
        <v>45954</v>
      </c>
      <c r="N264" t="s">
        <v>43</v>
      </c>
      <c r="O264">
        <v>5</v>
      </c>
    </row>
    <row r="265" spans="1:15" x14ac:dyDescent="0.25">
      <c r="A265" t="s">
        <v>460</v>
      </c>
      <c r="B265" s="2">
        <v>45891</v>
      </c>
      <c r="C265" t="s">
        <v>302</v>
      </c>
      <c r="D265" t="s">
        <v>26</v>
      </c>
      <c r="E265">
        <v>42</v>
      </c>
      <c r="F265" t="s">
        <v>27</v>
      </c>
      <c r="G265" t="s">
        <v>192</v>
      </c>
      <c r="H265" t="s">
        <v>42</v>
      </c>
      <c r="I265">
        <v>3</v>
      </c>
      <c r="J265" s="3">
        <v>17700</v>
      </c>
      <c r="K265" t="s">
        <v>21</v>
      </c>
      <c r="L265" t="s">
        <v>31</v>
      </c>
      <c r="M265" s="2">
        <v>45949</v>
      </c>
      <c r="N265" t="s">
        <v>37</v>
      </c>
      <c r="O265">
        <v>5</v>
      </c>
    </row>
    <row r="266" spans="1:15" x14ac:dyDescent="0.25">
      <c r="A266" t="s">
        <v>461</v>
      </c>
      <c r="B266" s="2">
        <v>46020</v>
      </c>
      <c r="C266" t="s">
        <v>453</v>
      </c>
      <c r="D266" t="s">
        <v>26</v>
      </c>
      <c r="E266">
        <v>59</v>
      </c>
      <c r="F266" t="s">
        <v>78</v>
      </c>
      <c r="G266" t="s">
        <v>82</v>
      </c>
      <c r="H266" t="s">
        <v>42</v>
      </c>
      <c r="I266">
        <v>1</v>
      </c>
      <c r="J266" s="3">
        <v>7300</v>
      </c>
      <c r="K266" t="s">
        <v>30</v>
      </c>
      <c r="L266" t="s">
        <v>22</v>
      </c>
      <c r="M266" s="2">
        <v>46082</v>
      </c>
      <c r="N266" t="s">
        <v>43</v>
      </c>
      <c r="O266">
        <v>5</v>
      </c>
    </row>
    <row r="267" spans="1:15" x14ac:dyDescent="0.25">
      <c r="A267" t="s">
        <v>462</v>
      </c>
      <c r="B267" s="2">
        <v>45733</v>
      </c>
      <c r="C267" t="s">
        <v>463</v>
      </c>
      <c r="D267" t="s">
        <v>26</v>
      </c>
      <c r="E267">
        <v>45</v>
      </c>
      <c r="F267" t="s">
        <v>40</v>
      </c>
      <c r="G267" t="s">
        <v>71</v>
      </c>
      <c r="H267" t="s">
        <v>36</v>
      </c>
      <c r="I267">
        <v>5</v>
      </c>
      <c r="J267" s="3">
        <v>46700</v>
      </c>
      <c r="K267" t="s">
        <v>30</v>
      </c>
      <c r="L267" t="s">
        <v>31</v>
      </c>
      <c r="M267" s="2">
        <v>45818</v>
      </c>
      <c r="N267" t="s">
        <v>32</v>
      </c>
      <c r="O267">
        <v>3</v>
      </c>
    </row>
    <row r="268" spans="1:15" x14ac:dyDescent="0.25">
      <c r="A268" t="s">
        <v>464</v>
      </c>
      <c r="B268" s="2">
        <v>45711</v>
      </c>
      <c r="C268" t="s">
        <v>343</v>
      </c>
      <c r="D268" t="s">
        <v>26</v>
      </c>
      <c r="E268">
        <v>20</v>
      </c>
      <c r="F268" t="s">
        <v>99</v>
      </c>
      <c r="G268" t="s">
        <v>100</v>
      </c>
      <c r="H268" t="s">
        <v>42</v>
      </c>
      <c r="I268">
        <v>3</v>
      </c>
      <c r="J268" s="3">
        <v>21200</v>
      </c>
      <c r="K268" t="s">
        <v>21</v>
      </c>
      <c r="L268" t="s">
        <v>31</v>
      </c>
      <c r="M268" s="2">
        <v>45816</v>
      </c>
      <c r="N268" t="s">
        <v>57</v>
      </c>
      <c r="O268">
        <v>4</v>
      </c>
    </row>
    <row r="269" spans="1:15" x14ac:dyDescent="0.25">
      <c r="A269" t="s">
        <v>465</v>
      </c>
      <c r="B269" s="2">
        <v>45737</v>
      </c>
      <c r="C269" t="s">
        <v>466</v>
      </c>
      <c r="D269" t="s">
        <v>26</v>
      </c>
      <c r="E269">
        <v>18</v>
      </c>
      <c r="F269" t="s">
        <v>122</v>
      </c>
      <c r="G269" t="s">
        <v>123</v>
      </c>
      <c r="H269" t="s">
        <v>29</v>
      </c>
      <c r="I269">
        <v>1</v>
      </c>
      <c r="J269" s="3">
        <v>10800</v>
      </c>
      <c r="K269" t="s">
        <v>63</v>
      </c>
      <c r="L269" t="s">
        <v>31</v>
      </c>
      <c r="M269" s="2">
        <v>45750</v>
      </c>
      <c r="N269" t="s">
        <v>43</v>
      </c>
      <c r="O269">
        <v>4</v>
      </c>
    </row>
    <row r="270" spans="1:15" x14ac:dyDescent="0.25">
      <c r="A270" t="s">
        <v>467</v>
      </c>
      <c r="B270" s="2">
        <v>45802</v>
      </c>
      <c r="C270" t="s">
        <v>266</v>
      </c>
      <c r="D270" t="s">
        <v>17</v>
      </c>
      <c r="E270">
        <v>23</v>
      </c>
      <c r="F270" t="s">
        <v>59</v>
      </c>
      <c r="G270" t="s">
        <v>60</v>
      </c>
      <c r="H270" t="s">
        <v>42</v>
      </c>
      <c r="I270">
        <v>6</v>
      </c>
      <c r="J270" s="3">
        <v>57700</v>
      </c>
      <c r="K270" t="s">
        <v>21</v>
      </c>
      <c r="L270" t="s">
        <v>31</v>
      </c>
      <c r="M270" s="2">
        <v>45859</v>
      </c>
      <c r="N270" t="s">
        <v>32</v>
      </c>
      <c r="O270">
        <v>5</v>
      </c>
    </row>
    <row r="271" spans="1:15" x14ac:dyDescent="0.25">
      <c r="A271" t="s">
        <v>468</v>
      </c>
      <c r="B271" s="2">
        <v>45918</v>
      </c>
      <c r="C271" t="s">
        <v>214</v>
      </c>
      <c r="D271" t="s">
        <v>26</v>
      </c>
      <c r="E271">
        <v>35</v>
      </c>
      <c r="F271" t="s">
        <v>142</v>
      </c>
      <c r="G271" t="s">
        <v>159</v>
      </c>
      <c r="H271" t="s">
        <v>42</v>
      </c>
      <c r="I271">
        <v>5</v>
      </c>
      <c r="J271" s="3">
        <v>40000</v>
      </c>
      <c r="K271" t="s">
        <v>30</v>
      </c>
      <c r="L271" t="s">
        <v>31</v>
      </c>
      <c r="M271" s="2">
        <v>45925</v>
      </c>
      <c r="N271" t="s">
        <v>23</v>
      </c>
      <c r="O271">
        <v>4</v>
      </c>
    </row>
    <row r="272" spans="1:15" x14ac:dyDescent="0.25">
      <c r="A272" t="s">
        <v>469</v>
      </c>
      <c r="B272" s="2">
        <v>45811</v>
      </c>
      <c r="C272" t="s">
        <v>453</v>
      </c>
      <c r="D272" t="s">
        <v>17</v>
      </c>
      <c r="E272">
        <v>18</v>
      </c>
      <c r="F272" t="s">
        <v>27</v>
      </c>
      <c r="G272" t="s">
        <v>35</v>
      </c>
      <c r="H272" t="s">
        <v>36</v>
      </c>
      <c r="I272">
        <v>2</v>
      </c>
      <c r="J272" s="3">
        <v>13000</v>
      </c>
      <c r="K272" t="s">
        <v>30</v>
      </c>
      <c r="L272" t="s">
        <v>31</v>
      </c>
      <c r="M272" s="2">
        <v>45853</v>
      </c>
      <c r="N272" t="s">
        <v>43</v>
      </c>
      <c r="O272">
        <v>5</v>
      </c>
    </row>
    <row r="273" spans="1:15" x14ac:dyDescent="0.25">
      <c r="A273" t="s">
        <v>470</v>
      </c>
      <c r="B273" s="2">
        <v>45737</v>
      </c>
      <c r="C273" t="s">
        <v>441</v>
      </c>
      <c r="D273" t="s">
        <v>17</v>
      </c>
      <c r="E273">
        <v>56</v>
      </c>
      <c r="F273" t="s">
        <v>99</v>
      </c>
      <c r="G273" t="s">
        <v>105</v>
      </c>
      <c r="H273" t="s">
        <v>29</v>
      </c>
      <c r="I273">
        <v>2</v>
      </c>
      <c r="J273" s="3">
        <v>19500</v>
      </c>
      <c r="K273" t="s">
        <v>63</v>
      </c>
      <c r="L273" t="s">
        <v>31</v>
      </c>
      <c r="M273" s="2">
        <v>45839</v>
      </c>
      <c r="N273" t="s">
        <v>57</v>
      </c>
      <c r="O273">
        <v>4</v>
      </c>
    </row>
    <row r="274" spans="1:15" x14ac:dyDescent="0.25">
      <c r="A274" t="s">
        <v>471</v>
      </c>
      <c r="B274" s="2">
        <v>45713</v>
      </c>
      <c r="C274" t="s">
        <v>50</v>
      </c>
      <c r="D274" t="s">
        <v>17</v>
      </c>
      <c r="E274">
        <v>34</v>
      </c>
      <c r="F274" t="s">
        <v>18</v>
      </c>
      <c r="G274" t="s">
        <v>151</v>
      </c>
      <c r="H274" t="s">
        <v>42</v>
      </c>
      <c r="I274">
        <v>5</v>
      </c>
      <c r="J274" s="3">
        <v>40500</v>
      </c>
      <c r="K274" t="s">
        <v>63</v>
      </c>
      <c r="L274" t="s">
        <v>31</v>
      </c>
      <c r="M274" s="2">
        <v>45823</v>
      </c>
      <c r="N274" t="s">
        <v>32</v>
      </c>
      <c r="O274">
        <v>4</v>
      </c>
    </row>
    <row r="275" spans="1:15" x14ac:dyDescent="0.25">
      <c r="A275" t="s">
        <v>472</v>
      </c>
      <c r="B275" s="2">
        <v>45942</v>
      </c>
      <c r="C275" t="s">
        <v>375</v>
      </c>
      <c r="D275" t="s">
        <v>17</v>
      </c>
      <c r="E275">
        <v>56</v>
      </c>
      <c r="F275" t="s">
        <v>40</v>
      </c>
      <c r="G275" t="s">
        <v>71</v>
      </c>
      <c r="H275" t="s">
        <v>36</v>
      </c>
      <c r="I275">
        <v>3</v>
      </c>
      <c r="J275" s="3">
        <v>35900</v>
      </c>
      <c r="K275" t="s">
        <v>21</v>
      </c>
      <c r="L275" t="s">
        <v>22</v>
      </c>
      <c r="M275" s="2">
        <v>46043</v>
      </c>
      <c r="N275" t="s">
        <v>37</v>
      </c>
      <c r="O275">
        <v>3</v>
      </c>
    </row>
    <row r="276" spans="1:15" x14ac:dyDescent="0.25">
      <c r="A276" t="s">
        <v>473</v>
      </c>
      <c r="B276" s="2">
        <v>45680</v>
      </c>
      <c r="C276" t="s">
        <v>62</v>
      </c>
      <c r="D276" t="s">
        <v>17</v>
      </c>
      <c r="E276">
        <v>55</v>
      </c>
      <c r="F276" t="s">
        <v>46</v>
      </c>
      <c r="G276" t="s">
        <v>51</v>
      </c>
      <c r="H276" t="s">
        <v>20</v>
      </c>
      <c r="I276">
        <v>5</v>
      </c>
      <c r="J276" s="3">
        <v>45400</v>
      </c>
      <c r="K276" t="s">
        <v>30</v>
      </c>
      <c r="L276" t="s">
        <v>31</v>
      </c>
      <c r="M276" s="2">
        <v>45692</v>
      </c>
      <c r="N276" t="s">
        <v>57</v>
      </c>
      <c r="O276">
        <v>5</v>
      </c>
    </row>
    <row r="277" spans="1:15" x14ac:dyDescent="0.25">
      <c r="A277" t="s">
        <v>474</v>
      </c>
      <c r="B277" s="2">
        <v>45801</v>
      </c>
      <c r="C277" t="s">
        <v>132</v>
      </c>
      <c r="D277" t="s">
        <v>17</v>
      </c>
      <c r="E277">
        <v>43</v>
      </c>
      <c r="F277" t="s">
        <v>40</v>
      </c>
      <c r="G277" t="s">
        <v>54</v>
      </c>
      <c r="H277" t="s">
        <v>20</v>
      </c>
      <c r="I277">
        <v>5</v>
      </c>
      <c r="J277" s="3">
        <v>71600</v>
      </c>
      <c r="K277" t="s">
        <v>63</v>
      </c>
      <c r="L277" t="s">
        <v>22</v>
      </c>
      <c r="M277" s="2">
        <v>45852</v>
      </c>
      <c r="N277" t="s">
        <v>32</v>
      </c>
      <c r="O277">
        <v>4</v>
      </c>
    </row>
    <row r="278" spans="1:15" x14ac:dyDescent="0.25">
      <c r="A278" t="s">
        <v>475</v>
      </c>
      <c r="B278" s="2">
        <v>45786</v>
      </c>
      <c r="C278" t="s">
        <v>327</v>
      </c>
      <c r="D278" t="s">
        <v>26</v>
      </c>
      <c r="E278">
        <v>28</v>
      </c>
      <c r="F278" t="s">
        <v>78</v>
      </c>
      <c r="G278" t="s">
        <v>82</v>
      </c>
      <c r="H278" t="s">
        <v>42</v>
      </c>
      <c r="I278">
        <v>2</v>
      </c>
      <c r="J278" s="3">
        <v>13300</v>
      </c>
      <c r="K278" t="s">
        <v>21</v>
      </c>
      <c r="L278" t="s">
        <v>31</v>
      </c>
      <c r="M278" s="2">
        <v>45827</v>
      </c>
      <c r="N278" t="s">
        <v>32</v>
      </c>
      <c r="O278">
        <v>4</v>
      </c>
    </row>
    <row r="279" spans="1:15" x14ac:dyDescent="0.25">
      <c r="A279" t="s">
        <v>476</v>
      </c>
      <c r="B279" s="2">
        <v>45976</v>
      </c>
      <c r="C279" t="s">
        <v>104</v>
      </c>
      <c r="D279" t="s">
        <v>17</v>
      </c>
      <c r="E279">
        <v>23</v>
      </c>
      <c r="F279" t="s">
        <v>78</v>
      </c>
      <c r="G279" t="s">
        <v>79</v>
      </c>
      <c r="H279" t="s">
        <v>29</v>
      </c>
      <c r="I279">
        <v>1</v>
      </c>
      <c r="J279" s="3">
        <v>9100</v>
      </c>
      <c r="K279" t="s">
        <v>68</v>
      </c>
      <c r="L279" t="s">
        <v>31</v>
      </c>
      <c r="M279" s="2">
        <v>46080</v>
      </c>
      <c r="N279" t="s">
        <v>57</v>
      </c>
      <c r="O279">
        <v>4</v>
      </c>
    </row>
    <row r="280" spans="1:15" x14ac:dyDescent="0.25">
      <c r="A280" t="s">
        <v>477</v>
      </c>
      <c r="B280" s="2">
        <v>45896</v>
      </c>
      <c r="C280" t="s">
        <v>308</v>
      </c>
      <c r="D280" t="s">
        <v>26</v>
      </c>
      <c r="E280">
        <v>49</v>
      </c>
      <c r="F280" t="s">
        <v>59</v>
      </c>
      <c r="G280" t="s">
        <v>85</v>
      </c>
      <c r="H280" t="s">
        <v>29</v>
      </c>
      <c r="I280">
        <v>5</v>
      </c>
      <c r="J280" s="3">
        <v>55500</v>
      </c>
      <c r="K280" t="s">
        <v>63</v>
      </c>
      <c r="L280" t="s">
        <v>31</v>
      </c>
      <c r="M280" s="2">
        <v>45982</v>
      </c>
      <c r="N280" t="s">
        <v>64</v>
      </c>
      <c r="O280">
        <v>4</v>
      </c>
    </row>
    <row r="281" spans="1:15" x14ac:dyDescent="0.25">
      <c r="A281" t="s">
        <v>478</v>
      </c>
      <c r="B281" s="2">
        <v>45716</v>
      </c>
      <c r="C281" t="s">
        <v>194</v>
      </c>
      <c r="D281" t="s">
        <v>26</v>
      </c>
      <c r="E281">
        <v>55</v>
      </c>
      <c r="F281" t="s">
        <v>122</v>
      </c>
      <c r="G281" t="s">
        <v>123</v>
      </c>
      <c r="H281" t="s">
        <v>29</v>
      </c>
      <c r="I281">
        <v>2</v>
      </c>
      <c r="J281" s="3">
        <v>22000</v>
      </c>
      <c r="K281" t="s">
        <v>68</v>
      </c>
      <c r="L281" t="s">
        <v>31</v>
      </c>
      <c r="M281" s="2">
        <v>45743</v>
      </c>
      <c r="N281" t="s">
        <v>43</v>
      </c>
      <c r="O281">
        <v>5</v>
      </c>
    </row>
    <row r="282" spans="1:15" x14ac:dyDescent="0.25">
      <c r="A282" t="s">
        <v>479</v>
      </c>
      <c r="B282" s="2">
        <v>45995</v>
      </c>
      <c r="C282" t="s">
        <v>191</v>
      </c>
      <c r="D282" t="s">
        <v>17</v>
      </c>
      <c r="E282">
        <v>48</v>
      </c>
      <c r="F282" t="s">
        <v>92</v>
      </c>
      <c r="G282" t="s">
        <v>108</v>
      </c>
      <c r="H282" t="s">
        <v>36</v>
      </c>
      <c r="I282">
        <v>5</v>
      </c>
      <c r="J282" s="3">
        <v>62500</v>
      </c>
      <c r="K282" t="s">
        <v>63</v>
      </c>
      <c r="L282" t="s">
        <v>31</v>
      </c>
      <c r="M282" s="2">
        <v>46085</v>
      </c>
      <c r="N282" t="s">
        <v>32</v>
      </c>
      <c r="O282">
        <v>4</v>
      </c>
    </row>
    <row r="283" spans="1:15" x14ac:dyDescent="0.25">
      <c r="A283" t="s">
        <v>480</v>
      </c>
      <c r="B283" s="2">
        <v>45903</v>
      </c>
      <c r="C283" t="s">
        <v>481</v>
      </c>
      <c r="D283" t="s">
        <v>26</v>
      </c>
      <c r="E283">
        <v>52</v>
      </c>
      <c r="F283" t="s">
        <v>99</v>
      </c>
      <c r="G283" t="s">
        <v>105</v>
      </c>
      <c r="H283" t="s">
        <v>29</v>
      </c>
      <c r="I283">
        <v>4</v>
      </c>
      <c r="J283" s="3">
        <v>40900</v>
      </c>
      <c r="K283" t="s">
        <v>63</v>
      </c>
      <c r="L283" t="s">
        <v>22</v>
      </c>
      <c r="M283" s="2">
        <v>45998</v>
      </c>
      <c r="N283" t="s">
        <v>43</v>
      </c>
      <c r="O283">
        <v>5</v>
      </c>
    </row>
    <row r="284" spans="1:15" x14ac:dyDescent="0.25">
      <c r="A284" t="s">
        <v>482</v>
      </c>
      <c r="B284" s="2">
        <v>45911</v>
      </c>
      <c r="C284" t="s">
        <v>256</v>
      </c>
      <c r="D284" t="s">
        <v>26</v>
      </c>
      <c r="E284">
        <v>25</v>
      </c>
      <c r="F284" t="s">
        <v>142</v>
      </c>
      <c r="G284" t="s">
        <v>143</v>
      </c>
      <c r="H284" t="s">
        <v>36</v>
      </c>
      <c r="I284">
        <v>2</v>
      </c>
      <c r="J284" s="3">
        <v>16400</v>
      </c>
      <c r="K284" t="s">
        <v>68</v>
      </c>
      <c r="L284" t="s">
        <v>31</v>
      </c>
      <c r="M284" s="2">
        <v>45981</v>
      </c>
      <c r="N284" t="s">
        <v>57</v>
      </c>
      <c r="O284">
        <v>5</v>
      </c>
    </row>
    <row r="285" spans="1:15" x14ac:dyDescent="0.25">
      <c r="A285" t="s">
        <v>483</v>
      </c>
      <c r="B285" s="2">
        <v>45967</v>
      </c>
      <c r="C285" t="s">
        <v>157</v>
      </c>
      <c r="D285" t="s">
        <v>26</v>
      </c>
      <c r="E285">
        <v>54</v>
      </c>
      <c r="F285" t="s">
        <v>99</v>
      </c>
      <c r="G285" t="s">
        <v>249</v>
      </c>
      <c r="H285" t="s">
        <v>36</v>
      </c>
      <c r="I285">
        <v>3</v>
      </c>
      <c r="J285" s="3">
        <v>23100</v>
      </c>
      <c r="K285" t="s">
        <v>21</v>
      </c>
      <c r="L285" t="s">
        <v>31</v>
      </c>
      <c r="M285" s="2">
        <v>46044</v>
      </c>
      <c r="N285" t="s">
        <v>23</v>
      </c>
      <c r="O285">
        <v>4</v>
      </c>
    </row>
    <row r="286" spans="1:15" x14ac:dyDescent="0.25">
      <c r="A286" t="s">
        <v>484</v>
      </c>
      <c r="B286" s="2">
        <v>45960</v>
      </c>
      <c r="C286" t="s">
        <v>432</v>
      </c>
      <c r="D286" t="s">
        <v>26</v>
      </c>
      <c r="E286">
        <v>31</v>
      </c>
      <c r="F286" t="s">
        <v>78</v>
      </c>
      <c r="G286" t="s">
        <v>79</v>
      </c>
      <c r="H286" t="s">
        <v>29</v>
      </c>
      <c r="I286">
        <v>1</v>
      </c>
      <c r="J286" s="3">
        <v>10100</v>
      </c>
      <c r="K286" t="s">
        <v>63</v>
      </c>
      <c r="L286" t="s">
        <v>31</v>
      </c>
      <c r="M286" s="2">
        <v>45969</v>
      </c>
      <c r="N286" t="s">
        <v>43</v>
      </c>
      <c r="O286">
        <v>4</v>
      </c>
    </row>
    <row r="287" spans="1:15" x14ac:dyDescent="0.25">
      <c r="A287" t="s">
        <v>485</v>
      </c>
      <c r="B287" s="2">
        <v>45929</v>
      </c>
      <c r="C287" t="s">
        <v>236</v>
      </c>
      <c r="D287" t="s">
        <v>26</v>
      </c>
      <c r="E287">
        <v>23</v>
      </c>
      <c r="F287" t="s">
        <v>46</v>
      </c>
      <c r="G287" t="s">
        <v>47</v>
      </c>
      <c r="H287" t="s">
        <v>48</v>
      </c>
      <c r="I287">
        <v>3</v>
      </c>
      <c r="J287" s="3">
        <v>18600</v>
      </c>
      <c r="K287" t="s">
        <v>68</v>
      </c>
      <c r="L287" t="s">
        <v>31</v>
      </c>
      <c r="M287" s="2">
        <v>46037</v>
      </c>
      <c r="N287" t="s">
        <v>23</v>
      </c>
      <c r="O287">
        <v>4</v>
      </c>
    </row>
    <row r="288" spans="1:15" x14ac:dyDescent="0.25">
      <c r="A288" t="s">
        <v>486</v>
      </c>
      <c r="B288" s="2">
        <v>45904</v>
      </c>
      <c r="C288" t="s">
        <v>238</v>
      </c>
      <c r="D288" t="s">
        <v>26</v>
      </c>
      <c r="E288">
        <v>49</v>
      </c>
      <c r="F288" t="s">
        <v>122</v>
      </c>
      <c r="G288" t="s">
        <v>123</v>
      </c>
      <c r="H288" t="s">
        <v>29</v>
      </c>
      <c r="I288">
        <v>4</v>
      </c>
      <c r="J288" s="3">
        <v>37300</v>
      </c>
      <c r="K288" t="s">
        <v>21</v>
      </c>
      <c r="L288" t="s">
        <v>31</v>
      </c>
      <c r="M288" s="2">
        <v>45943</v>
      </c>
      <c r="N288" t="s">
        <v>32</v>
      </c>
      <c r="O288">
        <v>5</v>
      </c>
    </row>
    <row r="289" spans="1:15" x14ac:dyDescent="0.25">
      <c r="A289" t="s">
        <v>487</v>
      </c>
      <c r="B289" s="2">
        <v>45710</v>
      </c>
      <c r="C289" t="s">
        <v>488</v>
      </c>
      <c r="D289" t="s">
        <v>26</v>
      </c>
      <c r="E289">
        <v>51</v>
      </c>
      <c r="F289" t="s">
        <v>92</v>
      </c>
      <c r="G289" t="s">
        <v>108</v>
      </c>
      <c r="H289" t="s">
        <v>36</v>
      </c>
      <c r="I289">
        <v>2</v>
      </c>
      <c r="J289" s="3">
        <v>24500</v>
      </c>
      <c r="K289" t="s">
        <v>63</v>
      </c>
      <c r="L289" t="s">
        <v>31</v>
      </c>
      <c r="M289" s="2">
        <v>45745</v>
      </c>
      <c r="N289" t="s">
        <v>32</v>
      </c>
      <c r="O289">
        <v>4</v>
      </c>
    </row>
    <row r="290" spans="1:15" x14ac:dyDescent="0.25">
      <c r="A290" t="s">
        <v>489</v>
      </c>
      <c r="B290" s="2">
        <v>45914</v>
      </c>
      <c r="C290" t="s">
        <v>481</v>
      </c>
      <c r="D290" t="s">
        <v>17</v>
      </c>
      <c r="E290">
        <v>19</v>
      </c>
      <c r="F290" t="s">
        <v>59</v>
      </c>
      <c r="G290" t="s">
        <v>85</v>
      </c>
      <c r="H290" t="s">
        <v>29</v>
      </c>
      <c r="I290">
        <v>3</v>
      </c>
      <c r="J290" s="3">
        <v>32000</v>
      </c>
      <c r="K290" t="s">
        <v>63</v>
      </c>
      <c r="L290" t="s">
        <v>31</v>
      </c>
      <c r="M290" s="2">
        <v>46015</v>
      </c>
      <c r="N290" t="s">
        <v>23</v>
      </c>
      <c r="O290">
        <v>5</v>
      </c>
    </row>
    <row r="291" spans="1:15" x14ac:dyDescent="0.25">
      <c r="A291" t="s">
        <v>490</v>
      </c>
      <c r="B291" s="2">
        <v>45988</v>
      </c>
      <c r="C291" t="s">
        <v>141</v>
      </c>
      <c r="D291" t="s">
        <v>17</v>
      </c>
      <c r="E291">
        <v>38</v>
      </c>
      <c r="F291" t="s">
        <v>92</v>
      </c>
      <c r="G291" t="s">
        <v>93</v>
      </c>
      <c r="H291" t="s">
        <v>20</v>
      </c>
      <c r="I291">
        <v>2</v>
      </c>
      <c r="J291" s="3">
        <v>27800</v>
      </c>
      <c r="K291" t="s">
        <v>63</v>
      </c>
      <c r="L291" t="s">
        <v>31</v>
      </c>
      <c r="M291" s="2">
        <v>46028</v>
      </c>
      <c r="N291" t="s">
        <v>23</v>
      </c>
      <c r="O291">
        <v>5</v>
      </c>
    </row>
    <row r="292" spans="1:15" x14ac:dyDescent="0.25">
      <c r="A292" t="s">
        <v>491</v>
      </c>
      <c r="B292" s="2">
        <v>45814</v>
      </c>
      <c r="C292" t="s">
        <v>77</v>
      </c>
      <c r="D292" t="s">
        <v>26</v>
      </c>
      <c r="E292">
        <v>37</v>
      </c>
      <c r="F292" t="s">
        <v>92</v>
      </c>
      <c r="G292" t="s">
        <v>162</v>
      </c>
      <c r="H292" t="s">
        <v>42</v>
      </c>
      <c r="I292">
        <v>2</v>
      </c>
      <c r="J292" s="3">
        <v>19100</v>
      </c>
      <c r="K292" t="s">
        <v>63</v>
      </c>
      <c r="L292" t="s">
        <v>31</v>
      </c>
      <c r="M292" s="2">
        <v>45895</v>
      </c>
      <c r="N292" t="s">
        <v>43</v>
      </c>
      <c r="O292">
        <v>4</v>
      </c>
    </row>
    <row r="293" spans="1:15" x14ac:dyDescent="0.25">
      <c r="A293" t="s">
        <v>492</v>
      </c>
      <c r="B293" s="2">
        <v>46010</v>
      </c>
      <c r="C293" t="s">
        <v>132</v>
      </c>
      <c r="D293" t="s">
        <v>26</v>
      </c>
      <c r="E293">
        <v>59</v>
      </c>
      <c r="F293" t="s">
        <v>27</v>
      </c>
      <c r="G293" t="s">
        <v>28</v>
      </c>
      <c r="H293" t="s">
        <v>29</v>
      </c>
      <c r="I293">
        <v>3</v>
      </c>
      <c r="J293" s="3">
        <v>24900</v>
      </c>
      <c r="K293" t="s">
        <v>68</v>
      </c>
      <c r="L293" t="s">
        <v>22</v>
      </c>
      <c r="M293" s="2">
        <v>46035</v>
      </c>
      <c r="N293" t="s">
        <v>23</v>
      </c>
      <c r="O293">
        <v>5</v>
      </c>
    </row>
    <row r="294" spans="1:15" x14ac:dyDescent="0.25">
      <c r="A294" t="s">
        <v>493</v>
      </c>
      <c r="B294" s="2">
        <v>45740</v>
      </c>
      <c r="C294" t="s">
        <v>73</v>
      </c>
      <c r="D294" t="s">
        <v>26</v>
      </c>
      <c r="E294">
        <v>29</v>
      </c>
      <c r="F294" t="s">
        <v>78</v>
      </c>
      <c r="G294" t="s">
        <v>82</v>
      </c>
      <c r="H294" t="s">
        <v>42</v>
      </c>
      <c r="I294">
        <v>4</v>
      </c>
      <c r="J294" s="3">
        <v>29500</v>
      </c>
      <c r="K294" t="s">
        <v>68</v>
      </c>
      <c r="L294" t="s">
        <v>22</v>
      </c>
      <c r="M294" s="2">
        <v>45765</v>
      </c>
      <c r="N294" t="s">
        <v>23</v>
      </c>
      <c r="O294">
        <v>4</v>
      </c>
    </row>
    <row r="295" spans="1:15" x14ac:dyDescent="0.25">
      <c r="A295" t="s">
        <v>494</v>
      </c>
      <c r="B295" s="2">
        <v>45916</v>
      </c>
      <c r="C295" t="s">
        <v>412</v>
      </c>
      <c r="D295" t="s">
        <v>17</v>
      </c>
      <c r="E295">
        <v>45</v>
      </c>
      <c r="F295" t="s">
        <v>59</v>
      </c>
      <c r="G295" t="s">
        <v>96</v>
      </c>
      <c r="H295" t="s">
        <v>36</v>
      </c>
      <c r="I295">
        <v>5</v>
      </c>
      <c r="J295" s="3">
        <v>40300</v>
      </c>
      <c r="K295" t="s">
        <v>30</v>
      </c>
      <c r="L295" t="s">
        <v>31</v>
      </c>
      <c r="M295" s="2">
        <v>45952</v>
      </c>
      <c r="N295" t="s">
        <v>64</v>
      </c>
      <c r="O295">
        <v>3</v>
      </c>
    </row>
    <row r="296" spans="1:15" x14ac:dyDescent="0.25">
      <c r="A296" t="s">
        <v>495</v>
      </c>
      <c r="B296" s="2">
        <v>45755</v>
      </c>
      <c r="C296" t="s">
        <v>251</v>
      </c>
      <c r="D296" t="s">
        <v>17</v>
      </c>
      <c r="E296">
        <v>46</v>
      </c>
      <c r="F296" t="s">
        <v>18</v>
      </c>
      <c r="G296" t="s">
        <v>19</v>
      </c>
      <c r="H296" t="s">
        <v>20</v>
      </c>
      <c r="I296">
        <v>1</v>
      </c>
      <c r="J296" s="3">
        <v>12200</v>
      </c>
      <c r="K296" t="s">
        <v>63</v>
      </c>
      <c r="L296" t="s">
        <v>22</v>
      </c>
      <c r="M296" s="2">
        <v>45801</v>
      </c>
      <c r="N296" t="s">
        <v>43</v>
      </c>
      <c r="O296">
        <v>4</v>
      </c>
    </row>
    <row r="297" spans="1:15" x14ac:dyDescent="0.25">
      <c r="A297" t="s">
        <v>496</v>
      </c>
      <c r="B297" s="2">
        <v>45767</v>
      </c>
      <c r="C297" t="s">
        <v>497</v>
      </c>
      <c r="D297" t="s">
        <v>17</v>
      </c>
      <c r="E297">
        <v>24</v>
      </c>
      <c r="F297" t="s">
        <v>78</v>
      </c>
      <c r="G297" t="s">
        <v>82</v>
      </c>
      <c r="H297" t="s">
        <v>42</v>
      </c>
      <c r="I297">
        <v>5</v>
      </c>
      <c r="J297" s="3">
        <v>38000</v>
      </c>
      <c r="K297" t="s">
        <v>21</v>
      </c>
      <c r="L297" t="s">
        <v>31</v>
      </c>
      <c r="M297" s="2">
        <v>45877</v>
      </c>
      <c r="N297" t="s">
        <v>43</v>
      </c>
      <c r="O297">
        <v>3</v>
      </c>
    </row>
    <row r="298" spans="1:15" x14ac:dyDescent="0.25">
      <c r="A298" t="s">
        <v>498</v>
      </c>
      <c r="B298" s="2">
        <v>45767</v>
      </c>
      <c r="C298" t="s">
        <v>178</v>
      </c>
      <c r="D298" t="s">
        <v>17</v>
      </c>
      <c r="E298">
        <v>43</v>
      </c>
      <c r="F298" t="s">
        <v>92</v>
      </c>
      <c r="G298" t="s">
        <v>93</v>
      </c>
      <c r="H298" t="s">
        <v>20</v>
      </c>
      <c r="I298">
        <v>4</v>
      </c>
      <c r="J298" s="3">
        <v>48400</v>
      </c>
      <c r="K298" t="s">
        <v>63</v>
      </c>
      <c r="L298" t="s">
        <v>31</v>
      </c>
      <c r="M298" s="2">
        <v>45841</v>
      </c>
      <c r="N298" t="s">
        <v>64</v>
      </c>
      <c r="O298">
        <v>5</v>
      </c>
    </row>
    <row r="299" spans="1:15" x14ac:dyDescent="0.25">
      <c r="A299" t="s">
        <v>499</v>
      </c>
      <c r="B299" s="2">
        <v>45869</v>
      </c>
      <c r="C299" t="s">
        <v>500</v>
      </c>
      <c r="D299" t="s">
        <v>17</v>
      </c>
      <c r="E299">
        <v>42</v>
      </c>
      <c r="F299" t="s">
        <v>27</v>
      </c>
      <c r="G299" t="s">
        <v>28</v>
      </c>
      <c r="H299" t="s">
        <v>29</v>
      </c>
      <c r="I299">
        <v>5</v>
      </c>
      <c r="J299" s="3">
        <v>40800</v>
      </c>
      <c r="K299" t="s">
        <v>63</v>
      </c>
      <c r="L299" t="s">
        <v>31</v>
      </c>
      <c r="M299" s="2">
        <v>45923</v>
      </c>
      <c r="N299" t="s">
        <v>43</v>
      </c>
      <c r="O299">
        <v>4</v>
      </c>
    </row>
    <row r="300" spans="1:15" x14ac:dyDescent="0.25">
      <c r="A300" t="s">
        <v>501</v>
      </c>
      <c r="B300" s="2">
        <v>45914</v>
      </c>
      <c r="C300" t="s">
        <v>321</v>
      </c>
      <c r="D300" t="s">
        <v>17</v>
      </c>
      <c r="E300">
        <v>24</v>
      </c>
      <c r="F300" t="s">
        <v>27</v>
      </c>
      <c r="G300" t="s">
        <v>35</v>
      </c>
      <c r="H300" t="s">
        <v>36</v>
      </c>
      <c r="I300">
        <v>4</v>
      </c>
      <c r="J300" s="3">
        <v>27000</v>
      </c>
      <c r="K300" t="s">
        <v>21</v>
      </c>
      <c r="L300" t="s">
        <v>31</v>
      </c>
      <c r="M300" s="2">
        <v>45994</v>
      </c>
      <c r="N300" t="s">
        <v>57</v>
      </c>
      <c r="O300">
        <v>4</v>
      </c>
    </row>
    <row r="301" spans="1:15" x14ac:dyDescent="0.25">
      <c r="A301" t="s">
        <v>502</v>
      </c>
      <c r="B301" s="2">
        <v>45830</v>
      </c>
      <c r="C301" t="s">
        <v>233</v>
      </c>
      <c r="D301" t="s">
        <v>26</v>
      </c>
      <c r="E301">
        <v>24</v>
      </c>
      <c r="F301" t="s">
        <v>99</v>
      </c>
      <c r="G301" t="s">
        <v>249</v>
      </c>
      <c r="H301" t="s">
        <v>36</v>
      </c>
      <c r="I301">
        <v>4</v>
      </c>
      <c r="J301" s="3">
        <v>26700</v>
      </c>
      <c r="K301" t="s">
        <v>63</v>
      </c>
      <c r="L301" t="s">
        <v>31</v>
      </c>
      <c r="M301" s="2">
        <v>45870</v>
      </c>
      <c r="N301" t="s">
        <v>43</v>
      </c>
      <c r="O301">
        <v>4</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sheetViews>
  <sheetFormatPr defaultRowHeight="15" x14ac:dyDescent="0.25"/>
  <cols>
    <col min="1" max="1" width="24" customWidth="1"/>
    <col min="2" max="2" width="60" customWidth="1"/>
  </cols>
  <sheetData>
    <row r="1" spans="1:2" x14ac:dyDescent="0.25">
      <c r="A1" s="4" t="s">
        <v>503</v>
      </c>
      <c r="B1" s="4" t="s">
        <v>504</v>
      </c>
    </row>
    <row r="2" spans="1:2" x14ac:dyDescent="0.25">
      <c r="A2" t="s">
        <v>0</v>
      </c>
      <c r="B2" t="s">
        <v>505</v>
      </c>
    </row>
    <row r="3" spans="1:2" x14ac:dyDescent="0.25">
      <c r="A3" t="s">
        <v>1</v>
      </c>
      <c r="B3" t="s">
        <v>506</v>
      </c>
    </row>
    <row r="4" spans="1:2" x14ac:dyDescent="0.25">
      <c r="A4" t="s">
        <v>2</v>
      </c>
      <c r="B4" t="s">
        <v>507</v>
      </c>
    </row>
    <row r="5" spans="1:2" x14ac:dyDescent="0.25">
      <c r="A5" t="s">
        <v>3</v>
      </c>
      <c r="B5" t="s">
        <v>508</v>
      </c>
    </row>
    <row r="6" spans="1:2" x14ac:dyDescent="0.25">
      <c r="A6" t="s">
        <v>4</v>
      </c>
      <c r="B6" t="s">
        <v>509</v>
      </c>
    </row>
    <row r="7" spans="1:2" x14ac:dyDescent="0.25">
      <c r="A7" t="s">
        <v>5</v>
      </c>
      <c r="B7" t="s">
        <v>510</v>
      </c>
    </row>
    <row r="8" spans="1:2" x14ac:dyDescent="0.25">
      <c r="A8" t="s">
        <v>6</v>
      </c>
      <c r="B8" t="s">
        <v>511</v>
      </c>
    </row>
    <row r="9" spans="1:2" x14ac:dyDescent="0.25">
      <c r="A9" t="s">
        <v>7</v>
      </c>
      <c r="B9" t="s">
        <v>512</v>
      </c>
    </row>
    <row r="10" spans="1:2" x14ac:dyDescent="0.25">
      <c r="A10" t="s">
        <v>8</v>
      </c>
      <c r="B10" t="s">
        <v>513</v>
      </c>
    </row>
    <row r="11" spans="1:2" x14ac:dyDescent="0.25">
      <c r="A11" t="s">
        <v>9</v>
      </c>
      <c r="B11" t="s">
        <v>514</v>
      </c>
    </row>
    <row r="12" spans="1:2" x14ac:dyDescent="0.25">
      <c r="A12" t="s">
        <v>10</v>
      </c>
      <c r="B12" t="s">
        <v>515</v>
      </c>
    </row>
    <row r="13" spans="1:2" x14ac:dyDescent="0.25">
      <c r="A13" t="s">
        <v>11</v>
      </c>
      <c r="B13" t="s">
        <v>516</v>
      </c>
    </row>
    <row r="14" spans="1:2" x14ac:dyDescent="0.25">
      <c r="A14" t="s">
        <v>12</v>
      </c>
      <c r="B14" t="s">
        <v>517</v>
      </c>
    </row>
    <row r="15" spans="1:2" x14ac:dyDescent="0.25">
      <c r="A15" t="s">
        <v>13</v>
      </c>
      <c r="B15" t="s">
        <v>518</v>
      </c>
    </row>
    <row r="16" spans="1:2" x14ac:dyDescent="0.25">
      <c r="A16" t="s">
        <v>14</v>
      </c>
      <c r="B16" t="s">
        <v>519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44"/>
  <sheetViews>
    <sheetView showGridLines="0" zoomScale="70" zoomScaleNormal="70" workbookViewId="0">
      <selection activeCell="AD17" sqref="AD17"/>
    </sheetView>
  </sheetViews>
  <sheetFormatPr defaultRowHeight="15" x14ac:dyDescent="0.25"/>
  <cols>
    <col min="1" max="24" width="10.7109375" customWidth="1"/>
  </cols>
  <sheetData>
    <row r="1" spans="1:24" x14ac:dyDescent="0.25">
      <c r="A1" s="17" t="s">
        <v>540</v>
      </c>
      <c r="B1" s="18"/>
      <c r="C1" s="18"/>
      <c r="D1" s="18"/>
      <c r="E1" s="18"/>
      <c r="F1" s="18"/>
      <c r="G1" s="18"/>
      <c r="H1" s="18"/>
      <c r="I1" s="18"/>
      <c r="J1" s="18"/>
      <c r="K1" s="18"/>
      <c r="L1" s="18"/>
      <c r="M1" s="18"/>
      <c r="N1" s="18"/>
      <c r="O1" s="18"/>
      <c r="P1" s="18"/>
      <c r="Q1" s="18"/>
      <c r="R1" s="18"/>
      <c r="S1" s="18"/>
      <c r="T1" s="18"/>
      <c r="U1" s="18"/>
      <c r="V1" s="18"/>
      <c r="W1" s="18"/>
      <c r="X1" s="18"/>
    </row>
    <row r="2" spans="1:24" x14ac:dyDescent="0.25">
      <c r="A2" s="18"/>
      <c r="B2" s="18"/>
      <c r="C2" s="18"/>
      <c r="D2" s="18"/>
      <c r="E2" s="18"/>
      <c r="F2" s="18"/>
      <c r="G2" s="18"/>
      <c r="H2" s="18"/>
      <c r="I2" s="18"/>
      <c r="J2" s="18"/>
      <c r="K2" s="18"/>
      <c r="L2" s="18"/>
      <c r="M2" s="18"/>
      <c r="N2" s="18"/>
      <c r="O2" s="18"/>
      <c r="P2" s="18"/>
      <c r="Q2" s="18"/>
      <c r="R2" s="18"/>
      <c r="S2" s="18"/>
      <c r="T2" s="18"/>
      <c r="U2" s="18"/>
      <c r="V2" s="18"/>
      <c r="W2" s="18"/>
      <c r="X2" s="18"/>
    </row>
    <row r="3" spans="1:24" x14ac:dyDescent="0.25">
      <c r="A3" s="18"/>
      <c r="B3" s="18"/>
      <c r="C3" s="18"/>
      <c r="D3" s="18"/>
      <c r="E3" s="18"/>
      <c r="F3" s="18"/>
      <c r="G3" s="18"/>
      <c r="H3" s="18"/>
      <c r="I3" s="18"/>
      <c r="J3" s="18"/>
      <c r="K3" s="18"/>
      <c r="L3" s="18"/>
      <c r="M3" s="18"/>
      <c r="N3" s="18"/>
      <c r="O3" s="18"/>
      <c r="P3" s="18"/>
      <c r="Q3" s="18"/>
      <c r="R3" s="18"/>
      <c r="S3" s="18"/>
      <c r="T3" s="18"/>
      <c r="U3" s="18"/>
      <c r="V3" s="18"/>
      <c r="W3" s="18"/>
      <c r="X3" s="18"/>
    </row>
    <row r="12" spans="1:24" ht="15" customHeight="1" x14ac:dyDescent="0.25">
      <c r="A12" s="19" t="s">
        <v>543</v>
      </c>
      <c r="B12" s="19"/>
      <c r="C12" s="19"/>
      <c r="D12" s="19"/>
      <c r="E12" s="20" t="s">
        <v>544</v>
      </c>
      <c r="F12" s="21"/>
      <c r="G12" s="21"/>
      <c r="H12" s="21"/>
      <c r="I12" s="22" t="s">
        <v>545</v>
      </c>
      <c r="J12" s="23"/>
      <c r="K12" s="23"/>
      <c r="L12" s="23"/>
      <c r="M12" s="24" t="s">
        <v>546</v>
      </c>
      <c r="N12" s="25"/>
      <c r="O12" s="25"/>
      <c r="P12" s="25"/>
      <c r="Q12" s="26" t="s">
        <v>547</v>
      </c>
      <c r="R12" s="27"/>
      <c r="S12" s="27"/>
      <c r="T12" s="27"/>
      <c r="U12" s="22" t="s">
        <v>548</v>
      </c>
      <c r="V12" s="23"/>
      <c r="W12" s="23"/>
      <c r="X12" s="23"/>
    </row>
    <row r="13" spans="1:24" x14ac:dyDescent="0.25">
      <c r="A13" s="19"/>
      <c r="B13" s="19"/>
      <c r="C13" s="19"/>
      <c r="D13" s="19"/>
      <c r="E13" s="21"/>
      <c r="F13" s="21"/>
      <c r="G13" s="21"/>
      <c r="H13" s="21"/>
      <c r="I13" s="23"/>
      <c r="J13" s="23"/>
      <c r="K13" s="23"/>
      <c r="L13" s="23"/>
      <c r="M13" s="25"/>
      <c r="N13" s="25"/>
      <c r="O13" s="25"/>
      <c r="P13" s="25"/>
      <c r="Q13" s="27"/>
      <c r="R13" s="27"/>
      <c r="S13" s="27"/>
      <c r="T13" s="27"/>
      <c r="U13" s="23"/>
      <c r="V13" s="23"/>
      <c r="W13" s="23"/>
      <c r="X13" s="23"/>
    </row>
    <row r="14" spans="1:24" x14ac:dyDescent="0.25">
      <c r="A14" s="19"/>
      <c r="B14" s="19"/>
      <c r="C14" s="19"/>
      <c r="D14" s="19"/>
      <c r="E14" s="21"/>
      <c r="F14" s="21"/>
      <c r="G14" s="21"/>
      <c r="H14" s="21"/>
      <c r="I14" s="23"/>
      <c r="J14" s="23"/>
      <c r="K14" s="23"/>
      <c r="L14" s="23"/>
      <c r="M14" s="25"/>
      <c r="N14" s="25"/>
      <c r="O14" s="25"/>
      <c r="P14" s="25"/>
      <c r="Q14" s="27"/>
      <c r="R14" s="27"/>
      <c r="S14" s="27"/>
      <c r="T14" s="27"/>
      <c r="U14" s="23"/>
      <c r="V14" s="23"/>
      <c r="W14" s="23"/>
      <c r="X14" s="23"/>
    </row>
    <row r="15" spans="1:24" x14ac:dyDescent="0.25">
      <c r="A15" s="19"/>
      <c r="B15" s="19"/>
      <c r="C15" s="19"/>
      <c r="D15" s="19"/>
      <c r="E15" s="21"/>
      <c r="F15" s="21"/>
      <c r="G15" s="21"/>
      <c r="H15" s="21"/>
      <c r="I15" s="23"/>
      <c r="J15" s="23"/>
      <c r="K15" s="23"/>
      <c r="L15" s="23"/>
      <c r="M15" s="25"/>
      <c r="N15" s="25"/>
      <c r="O15" s="25"/>
      <c r="P15" s="25"/>
      <c r="Q15" s="27"/>
      <c r="R15" s="27"/>
      <c r="S15" s="27"/>
      <c r="T15" s="27"/>
      <c r="U15" s="23"/>
      <c r="V15" s="23"/>
      <c r="W15" s="23"/>
      <c r="X15" s="23"/>
    </row>
    <row r="44" spans="33:33" x14ac:dyDescent="0.25">
      <c r="AG44" t="s">
        <v>549</v>
      </c>
    </row>
  </sheetData>
  <mergeCells count="7">
    <mergeCell ref="A1:X3"/>
    <mergeCell ref="A12:D15"/>
    <mergeCell ref="E12:H15"/>
    <mergeCell ref="I12:L15"/>
    <mergeCell ref="M12:P15"/>
    <mergeCell ref="Q12:T15"/>
    <mergeCell ref="U12:X1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New Dashboard</vt:lpstr>
      <vt:lpstr>Pivot Data</vt:lpstr>
      <vt:lpstr>pivot table 1</vt:lpstr>
      <vt:lpstr>pivot table 2</vt:lpstr>
      <vt:lpstr>pivot table 3</vt:lpstr>
      <vt:lpstr>pivot table 4</vt:lpstr>
      <vt:lpstr>pivot table 5</vt:lpstr>
      <vt:lpstr>pivot table 6</vt:lpstr>
      <vt:lpstr>pivot table 7</vt:lpstr>
      <vt:lpstr>Sheet9</vt:lpstr>
      <vt:lpstr>Tours Travel Dataset</vt:lpstr>
      <vt:lpstr>Data Dictionary</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2026-09-07T10:14:12Z</dcterms:created>
  <dcterms:modified xsi:type="dcterms:W3CDTF">2026-09-30T11:19:13Z</dcterms:modified>
</cp:coreProperties>
</file>